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414"/>
  <workbookPr/>
  <mc:AlternateContent xmlns:mc="http://schemas.openxmlformats.org/markup-compatibility/2006">
    <mc:Choice Requires="x15">
      <x15ac:absPath xmlns:x15ac="http://schemas.microsoft.com/office/spreadsheetml/2010/11/ac" url="/Users/liming/Desktop/LLM&amp;SJT/teacher/final_submittion/content_validity/"/>
    </mc:Choice>
  </mc:AlternateContent>
  <xr:revisionPtr revIDLastSave="0" documentId="13_ncr:1_{55F7F4AC-2F1E-2B4B-8BE3-90900D83F1C0}" xr6:coauthVersionLast="47" xr6:coauthVersionMax="47" xr10:uidLastSave="{00000000-0000-0000-0000-000000000000}"/>
  <bookViews>
    <workbookView xWindow="980" yWindow="500" windowWidth="27820" windowHeight="17500" xr2:uid="{00000000-000D-0000-FFFF-FFFF00000000}"/>
  </bookViews>
  <sheets>
    <sheet name="adapted_options_llm" sheetId="4" r:id="rId1"/>
  </sheets>
  <definedNames>
    <definedName name="_xlnm._FilterDatabase" localSheetId="0" hidden="1">adapted_options_llm!$F$1:$F$73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73" i="4" l="1"/>
  <c r="R72" i="4"/>
  <c r="R71" i="4"/>
  <c r="R70" i="4"/>
  <c r="R69" i="4"/>
  <c r="R68" i="4"/>
  <c r="R67" i="4"/>
  <c r="R66" i="4"/>
  <c r="R65" i="4"/>
  <c r="R64" i="4"/>
  <c r="R63" i="4"/>
  <c r="R62" i="4"/>
  <c r="R61" i="4"/>
  <c r="R60" i="4"/>
  <c r="R59" i="4"/>
  <c r="R58" i="4"/>
  <c r="R57" i="4"/>
  <c r="R56" i="4"/>
  <c r="R55" i="4"/>
  <c r="R54" i="4"/>
  <c r="R53" i="4"/>
  <c r="R52" i="4"/>
  <c r="R51" i="4"/>
  <c r="R50" i="4"/>
  <c r="R49" i="4"/>
  <c r="R48" i="4"/>
  <c r="R47" i="4"/>
  <c r="R46" i="4"/>
  <c r="R45" i="4"/>
  <c r="R44" i="4"/>
  <c r="R43" i="4"/>
  <c r="R42" i="4"/>
  <c r="R41" i="4"/>
  <c r="R40" i="4"/>
  <c r="R39" i="4"/>
  <c r="R38" i="4"/>
  <c r="R37" i="4"/>
  <c r="R36" i="4"/>
  <c r="R35" i="4"/>
  <c r="R34" i="4"/>
  <c r="R33" i="4"/>
  <c r="P33" i="4"/>
  <c r="R32" i="4"/>
  <c r="R31" i="4"/>
  <c r="R30" i="4"/>
  <c r="R29" i="4"/>
  <c r="R28" i="4"/>
  <c r="R27" i="4"/>
  <c r="R26" i="4"/>
  <c r="R25" i="4"/>
  <c r="R24" i="4"/>
  <c r="R23" i="4"/>
  <c r="R22" i="4"/>
  <c r="R21" i="4"/>
  <c r="R20" i="4"/>
  <c r="R19" i="4"/>
  <c r="R18" i="4"/>
  <c r="R17" i="4"/>
  <c r="R16" i="4"/>
  <c r="R15" i="4"/>
  <c r="R14" i="4"/>
  <c r="R13" i="4"/>
  <c r="R12" i="4"/>
  <c r="R11" i="4"/>
  <c r="R10" i="4"/>
  <c r="R9" i="4"/>
  <c r="R8" i="4"/>
  <c r="R7" i="4"/>
  <c r="R6" i="4"/>
  <c r="R5" i="4"/>
  <c r="R4" i="4"/>
  <c r="R3" i="4"/>
  <c r="R2" i="4"/>
</calcChain>
</file>

<file path=xl/sharedStrings.xml><?xml version="1.0" encoding="utf-8"?>
<sst xmlns="http://schemas.openxmlformats.org/spreadsheetml/2006/main" count="375" uniqueCount="216">
  <si>
    <t>scenario_id</t>
  </si>
  <si>
    <t>LLM_score</t>
  </si>
  <si>
    <t>expert</t>
  </si>
  <si>
    <t>SME</t>
  </si>
  <si>
    <t>diff</t>
  </si>
  <si>
    <t>adapted_r1_1</t>
  </si>
  <si>
    <t>你注意到班级里的小华在上课时经常心不在焉，作业也完成得马马虎虎。某天放学后，你偶然发现他在教室里独自坐着，神情落寞。你上前询问，他告诉你最近家里出了些问题，导致他心情低落，学习也受到了很大影响。在这种情况下，你会怎么做？</t>
  </si>
  <si>
    <t>与其他任课老师沟通，共同关注小华的学习状态。</t>
  </si>
  <si>
    <t>安排一次与小华的私下谈话，详细了解他的家庭情况，并提供必要的帮助。</t>
  </si>
  <si>
    <t>暂时不介入，观察小华的情况是否会有所改善。</t>
  </si>
  <si>
    <t>鼓励小华在课堂上多参与讨论，提升他的学习兴趣。</t>
  </si>
  <si>
    <t>adapted_r1_2</t>
  </si>
  <si>
    <t>你发现班上的小涛在最近的几次课堂测验中成绩都不理想。他平时是个活泼好动的孩子，但最近显得特别沉默。当你询问他是否需要帮助时，他显得有些抵触，不愿多谈。在这种情况下，你会怎么做？</t>
  </si>
  <si>
    <t>与小涛的家长联系，了解他在家里的情况。</t>
  </si>
  <si>
    <t>在课堂上多关注小涛，增加对他的提问次数。</t>
  </si>
  <si>
    <t>尊重小涛的意愿，等他主动来找你。</t>
  </si>
  <si>
    <t>私下找小涛谈话，耐心引导他表达自己的想法和困扰。</t>
  </si>
  <si>
    <t>adapted_r1_3</t>
  </si>
  <si>
    <t>你注意到学生小敏在课堂上经常与同学发生争执，甚至有时会影响到课堂秩序。你尝试在课后与她沟通，但她总是显得很抵触，不愿意与你交流。在这种情况下，你会怎么做？</t>
  </si>
  <si>
    <t>与小敏的家长取得联系，共同解决她的问题。</t>
  </si>
  <si>
    <t>严厉批评小敏，要求她必须改正自己的行为。</t>
  </si>
  <si>
    <t>在课堂上安排一些小组合作活动，帮助小敏学会与同学和睦相处。</t>
  </si>
  <si>
    <t>尝试换一种沟通方式，如通过写信或电子邮件与小敏交流。</t>
  </si>
  <si>
    <t>adapted_r1_4</t>
  </si>
  <si>
    <t>你发现班上的小杰在最近一段时间里经常迟到，且课堂上也显得无精打采。你尝试询问他原因，但他总是支支吾吾，不愿正面回答。你担心他的学习和生活状态，但又不想过于干涉他的私人空间。在这种情况下，你会怎么做？</t>
  </si>
  <si>
    <t>与其他学生了解小杰的近况，看是否能从侧面了解原因。</t>
  </si>
  <si>
    <t>在合适的时机提醒小杰，表达你的关心和担忧。</t>
  </si>
  <si>
    <t>直接给小杰的家长打电话，反映他的问题。</t>
  </si>
  <si>
    <t>私下与小杰深入交谈，耐心倾听他的想法和困扰，并提供帮助。</t>
  </si>
  <si>
    <t>adapted_r1_5</t>
  </si>
  <si>
    <t>你注意到学生小瑶在课间休息时总是独自坐在角落，很少与同学交流。她平时性格内向，但最近似乎更加孤僻。你担心她在学校的生活状态，希望能够帮助她更好地融入集体。在这种情况下，你会怎么做？</t>
  </si>
  <si>
    <t>与班级其他同学沟通，鼓励他们主动与小瑶交流。</t>
  </si>
  <si>
    <t>在课堂上多给小瑶展示自己的机会，提升她的自信心。</t>
  </si>
  <si>
    <t>强制要求小瑶参加课间活动，增加与同学的互动。</t>
  </si>
  <si>
    <t>私下与小瑶谈话，了解她的想法和困扰，并提供支持。</t>
  </si>
  <si>
    <t>adapted_r1_6</t>
  </si>
  <si>
    <t>你发现学生小晨对某门学科特别不感兴趣，上课时经常走神或做其他事情。他曾向你表示过对这门学科的厌恶，并认为将来用不上这些知识。作为他的老师，你希望他能全面发展，不要偏科。在这种情况下，你会怎么做？</t>
  </si>
  <si>
    <t>与小晨深入交流，了解他的想法和困惑，并引导他正确看待学科学习。</t>
  </si>
  <si>
    <t>严格要求小晨在课堂上认真听讲，不得做其他事情。</t>
  </si>
  <si>
    <t>尝试用有趣的教学方式激发小晨对该学科的兴趣。</t>
  </si>
  <si>
    <t>联系小晨的家长，希望他们能在家里督促孩子的学习。</t>
  </si>
  <si>
    <t>adapted_r2_1</t>
  </si>
  <si>
    <t>你发现学生小宁在课后经常逗留，看起来对某些课题特别感兴趣，总是自发地进行额外学习和探索。他向你表达了对这些课题的热情，并询问是否有更深入的学习资源。在这种情况下，你会怎么做？</t>
  </si>
  <si>
    <t>与小宁一起制定个人学习计划，引导他系统深化兴趣领域。</t>
  </si>
  <si>
    <t>向小宁推荐一些高级的学习资料和在线课程。</t>
  </si>
  <si>
    <t>告诉小宁等到更高年级时自然会接触到这些内容。</t>
  </si>
  <si>
    <t>鼓励小宁加入学校的学科竞赛或研究小组。</t>
  </si>
  <si>
    <t>adapted_r2_2</t>
  </si>
  <si>
    <t>学生小艾在课上表现一直很好，但最近几次作业质量明显下降，甚至出现了不应有的错误。你观察到她最近似乎有些心不在焉，课间也少了往日的活泼。在这种情况下，你会怎么做？</t>
  </si>
  <si>
    <t>在课堂上公开批评小艾，提醒她注意作业质量。</t>
  </si>
  <si>
    <t>增加作业量，以帮助小艾恢复对学业的专注。</t>
  </si>
  <si>
    <t>私下找小艾谈话，了解她是否遇到了什么困难或压力。</t>
  </si>
  <si>
    <t>与其他老师讨论小艾的情况，看是否有共同的解决办法。</t>
  </si>
  <si>
    <t>adapted_r2_3</t>
  </si>
  <si>
    <t>你注意到学生小帆在集体活动中总是很被动，不太愿意与同学合作，甚至经常选择独自完成任务。在团队合作日益重要的今天，你希望他能更好地融入团队。在这种情况下，你会怎么做？</t>
  </si>
  <si>
    <t>与小帆的家长联系，希望他们能在家里鼓励孩子的社交发展。</t>
  </si>
  <si>
    <t>在课堂上组织更多需要团队合作的活动。</t>
  </si>
  <si>
    <t>强制要求小帆参与所有集体活动，不得独自行动。</t>
  </si>
  <si>
    <t>私下与小帆沟通，了解他对团队合作的看法和顾虑。</t>
  </si>
  <si>
    <t>adapted_r2_4</t>
  </si>
  <si>
    <t>与小瑶一起探讨并设计一些符合她兴趣的挑战性任务。</t>
  </si>
  <si>
    <t>向小瑶推荐一些高年级的学习资料，让她提前接触更复杂的知识。</t>
  </si>
  <si>
    <t>忽略小瑶的请求，坚持按照既定的教学计划进行。</t>
  </si>
  <si>
    <t>鼓励小瑶在课余时间自行寻找并尝试更具挑战性的学习内容。</t>
  </si>
  <si>
    <t>adapted_r2_5</t>
  </si>
  <si>
    <t>你发现学生小凯对某个课题有独到的见解，他提出的观点总是新颖且富有创造性。你希望进一步培养他的创新思维和能力。在这种情况下，你会怎么做？</t>
  </si>
  <si>
    <t>为小凯提供额外的学习资源，帮助他深化对该课题的理解。</t>
  </si>
  <si>
    <t>组织一次小组讨论，让小凯有机会引导同学们一起探讨该课题。</t>
  </si>
  <si>
    <t>要求小凯严格按照教材学习，不要过于标新立异。</t>
  </si>
  <si>
    <t>鼓励小凯在课堂上多分享自己的观点，并给予正面反馈。</t>
  </si>
  <si>
    <t>adapted_r2_6</t>
  </si>
  <si>
    <t>在课间休息时，学生小露向你透露，她最近在学习上感到很迷茫，不知道该如何规划自己的学习时间和精力。她希望你能给她一些建议。在这种情况下，你会怎么做？</t>
  </si>
  <si>
    <t>与小露一起分析她的学习情况和目标，共同制定一个适合她的学习计划。</t>
  </si>
  <si>
    <t>向小露推荐一些学习时间管理的方法和技巧。</t>
  </si>
  <si>
    <t>告诉小露每个人的学习方法都不一样，让她自己慢慢摸索。</t>
  </si>
  <si>
    <t>直接告诉小露一个详细的学习计划，让她按照计划执行。</t>
  </si>
  <si>
    <t>adapted_r3_1</t>
  </si>
  <si>
    <t>公开纠正小轩的每一次错误，以确保课堂信息的准确性。</t>
  </si>
  <si>
    <t>在肯定小轩积极性的同时，引导他学会思考和准确表达。</t>
  </si>
  <si>
    <t>忽视小轩不准确的回答，避免打击他的积极性。</t>
  </si>
  <si>
    <t>私下与小轩沟通，教他如何更有效地利用课堂发言机会。</t>
  </si>
  <si>
    <t>adapted_r3_2</t>
  </si>
  <si>
    <t>与小乐一起分析他的学习方法和习惯，寻找提升的空间。</t>
  </si>
  <si>
    <t>安慰小乐，告诉他只要努力就一定会有回报。</t>
  </si>
  <si>
    <t>建议小乐暂时放弃当前的学习目标，转向其他领域尝试。</t>
  </si>
  <si>
    <t>鼓励小乐坚持现状，相信时间会证明他的努力。</t>
  </si>
  <si>
    <t>adapted_r3_3</t>
  </si>
  <si>
    <t>你发现学生小晴在课堂上总是沉默寡言，但她的作业却完成得非常出色。你希望她能在课堂上更多地展现自己。在这种情况下，你会怎么做？</t>
  </si>
  <si>
    <t>与其他学生约定，在课堂上主动与小晴互动，带动她参与讨论。</t>
  </si>
  <si>
    <t>在课堂上直接点名让小晴发言，给她更多展现机会。</t>
  </si>
  <si>
    <t>忽视小晴的课堂表现，只要她作业完成得好就行。</t>
  </si>
  <si>
    <t>私下与小晴沟通，了解她课堂沉默的原因，并鼓励她积极参与。</t>
  </si>
  <si>
    <t>adapted_r3_4</t>
  </si>
  <si>
    <t>学生小瑞在课后向你提出，他对某个课题有特别的兴趣，希望能进行更深入的研究。他询问你是否可以指导他进行相关的研究项目。在这种情况下，你会怎么做？</t>
  </si>
  <si>
    <t>告诉小瑞你很忙，让他自己去找资料研究。</t>
  </si>
  <si>
    <t>帮小瑞联系其他专业的老师，让他得到更专业的指导。</t>
  </si>
  <si>
    <t>建议小瑞等到大学再进行深入研究，现在应以基础学习为主。</t>
  </si>
  <si>
    <t>鼓励小瑞的想法，并承诺在时间和能力范围内给予指导。</t>
  </si>
  <si>
    <t>adapted_r3_5</t>
  </si>
  <si>
    <t>你注意到学生小羽在最近几次的测验中成绩波动很大，有时表现优异，有时却远低于平均水平。你担心他的学习状态不稳定，希望能帮助他稳定提升。在这种情况下，你会怎么做？</t>
  </si>
  <si>
    <t>公开批评小羽的成绩波动，以激励他努力稳定成绩。</t>
  </si>
  <si>
    <t>增加测验频率，以帮助小羽更好地掌握学习内容。</t>
  </si>
  <si>
    <t>忽视小羽的成绩波动，认为这是正常现象。</t>
  </si>
  <si>
    <t>私下与小羽沟通，了解他学习状态不稳定的原因，并提供帮助。</t>
  </si>
  <si>
    <t>adapted_r3_6</t>
  </si>
  <si>
    <t>学生小琳向你反映，她在团队合作中经常遇到意见不合的情况，这让她感到很困扰。她希望你能给她一些处理这种情况的建议。在这种情况下，你会怎么做？</t>
  </si>
  <si>
    <t>与小琳一起分析具体案例，帮助她提升解决冲突的能力。</t>
  </si>
  <si>
    <t>告诉小琳要坚定自己的立场，不要轻易妥协。</t>
  </si>
  <si>
    <t>建议小琳避免参与团队合作，以免再次遇到类似问题。</t>
  </si>
  <si>
    <t>教导小琳一些有效的沟通技巧和团队合作方法。</t>
  </si>
  <si>
    <t>expert1</t>
    <phoneticPr fontId="8" type="noConversion"/>
  </si>
  <si>
    <t>expert2</t>
    <phoneticPr fontId="8" type="noConversion"/>
  </si>
  <si>
    <t>expert3</t>
  </si>
  <si>
    <t>expert4</t>
  </si>
  <si>
    <t>expert5</t>
  </si>
  <si>
    <t>expert6</t>
  </si>
  <si>
    <t>expert7</t>
  </si>
  <si>
    <t>expert8</t>
  </si>
  <si>
    <t>expert9</t>
  </si>
  <si>
    <t>scenarios</t>
    <phoneticPr fontId="8" type="noConversion"/>
  </si>
  <si>
    <t>options</t>
    <phoneticPr fontId="8" type="noConversion"/>
  </si>
  <si>
    <t>scenarios_English_version</t>
    <phoneticPr fontId="8" type="noConversion"/>
  </si>
  <si>
    <t>options_English_version</t>
    <phoneticPr fontId="8" type="noConversion"/>
  </si>
  <si>
    <t>You notice that Hua in your class is often inattentive in class and does his homework carelessly. After school one day, you happen to find him sitting alone in the classroom with a lonely expression. You go over to ask him, and he tells you that there have been some problems at home recently, which have made him feel depressed and greatly affected his studies. What would you do in this situation?</t>
    <phoneticPr fontId="8" type="noConversion"/>
  </si>
  <si>
    <t>Communicate with other subject teachers to jointly pay attention to Hua’s learning status.</t>
    <phoneticPr fontId="8" type="noConversion"/>
  </si>
  <si>
    <t>Arrange a private talk with Hua to learn about his family situation in detail and provide necessary help.</t>
    <phoneticPr fontId="8" type="noConversion"/>
  </si>
  <si>
    <t>Encourage Hua to participate more in class discussions to enhance his interest in learning.</t>
    <phoneticPr fontId="8" type="noConversion"/>
  </si>
  <si>
    <t>Take no action and observe whether Hua’s situation will improve.</t>
    <phoneticPr fontId="8" type="noConversion"/>
  </si>
  <si>
    <t>You find that Tao in your class has performed poorly on several recent class quizzes. He is usually an active and lively child, but has become unusually quiet lately. When you ask if he needs help, he appears somewhat resistant and unwilling to talk further. What would you do in this situation?</t>
    <phoneticPr fontId="8" type="noConversion"/>
  </si>
  <si>
    <t>Contact Tao’s parents to learn about his situation at home.</t>
    <phoneticPr fontId="8" type="noConversion"/>
  </si>
  <si>
    <t>Pay more attention to Tao in class and engage him more by asking him questions.</t>
    <phoneticPr fontId="8" type="noConversion"/>
  </si>
  <si>
    <t>Respect Tao’s wishes and wait for him to come to you.</t>
    <phoneticPr fontId="8" type="noConversion"/>
  </si>
  <si>
    <t>Talk with Tao privately and patiently guide him to express his thoughts and troubles.</t>
    <phoneticPr fontId="8" type="noConversion"/>
  </si>
  <si>
    <t>You notice that Min, a student in your class, often quarrels with classmates during class and sometimes even disrupts class order. You try to talk with her after class, but she always appears resistant and unwilling to communicate with you. What would you do in this situation?</t>
    <phoneticPr fontId="8" type="noConversion"/>
  </si>
  <si>
    <t>Get in touch with Min’s parents to solve her problems together.</t>
    <phoneticPr fontId="8" type="noConversion"/>
  </si>
  <si>
    <t>Arrange some group activities during class to help Min learn to get along well with classmates.</t>
    <phoneticPr fontId="8" type="noConversion"/>
  </si>
  <si>
    <t>Try a different way of communicating, such as talking with Min through letters or emails.</t>
    <phoneticPr fontId="8" type="noConversion"/>
  </si>
  <si>
    <t>Criticize Min severely and ask her to correct her behavior.</t>
    <phoneticPr fontId="8" type="noConversion"/>
  </si>
  <si>
    <t>You find that Jay in your class has been frequently late recently and looks listless in class. You try to ask him about the reason, but he always hesitates and refuses to answer. You are concerned about his study and life, but do not want to interfere too much with his personal space. What would you do in this situation?</t>
    <phoneticPr fontId="8" type="noConversion"/>
  </si>
  <si>
    <t>Ask other students about Jay’s recent situation to see if you can learn the reason indirectly.</t>
    <phoneticPr fontId="8" type="noConversion"/>
  </si>
  <si>
    <t>Remind Jay at an appropriate time and express your care and concern.</t>
    <phoneticPr fontId="8" type="noConversion"/>
  </si>
  <si>
    <t>Call Jay’s parents directly to report his problems.</t>
    <phoneticPr fontId="8" type="noConversion"/>
  </si>
  <si>
    <t>Have an in-depth private conversation with Jay, listen patiently to his thoughts and troubles, and offer help.</t>
    <phoneticPr fontId="8" type="noConversion"/>
  </si>
  <si>
    <t>You notice that Yao, a student in your class, always sits alone in the corner during breaks and seldom interacts with classmates. She is usually introverted, but has become even more withdrawn lately. You are concerned about her well-being at school and hope to help her better integrate into the class. What would you do in this situation?</t>
    <phoneticPr fontId="8" type="noConversion"/>
  </si>
  <si>
    <t>Communicate with other classmates and encourage them to take the initiative to interact with Yao.</t>
    <phoneticPr fontId="8" type="noConversion"/>
  </si>
  <si>
    <t>Give Yao more opportunities to present herself during class to boost her confidence.</t>
    <phoneticPr fontId="8" type="noConversion"/>
  </si>
  <si>
    <t>Speak with Yao privately to understand her thoughts and troubles, and provide support.</t>
    <phoneticPr fontId="8" type="noConversion"/>
  </si>
  <si>
    <t>Force Yao to participate in activities to increase her interaction with classmates.</t>
    <phoneticPr fontId="8" type="noConversion"/>
  </si>
  <si>
    <t>You find that student Chen shows a strong lack of interest in a certain subject and often spaces out or does other things in class. He has told you that he dislikes the subject and thinks the knowledge will not be useful to him in the future. As his teacher, you hope to encourage him to develop in a balanced way and not neglect any subjects. What would you do in this situation?</t>
    <phoneticPr fontId="8" type="noConversion"/>
  </si>
  <si>
    <t>Have an in-depth conversation with Chen to understand his thoughts and confusion, and guide him to take a correct view of subject learning.</t>
    <phoneticPr fontId="8" type="noConversion"/>
  </si>
  <si>
    <t>Strictly require Chen to listen attentively in class and not do other unrelated things.</t>
    <phoneticPr fontId="8" type="noConversion"/>
  </si>
  <si>
    <t>Try interesting teaching methods to stimulate Chen’s interest in the subject.</t>
    <phoneticPr fontId="8" type="noConversion"/>
  </si>
  <si>
    <t>Contact Chen’s parents and hope they can supervise his studies at home.</t>
    <phoneticPr fontId="8" type="noConversion"/>
  </si>
  <si>
    <t>You find that student Ning often stays after class, appears particularly interested in certain topics, and always takes the initiative to do extra study and exploration. He has expressed his enthusiasm for these topics to you and asked if there are more in-depth learning resources available. What would you do in this situation?</t>
    <phoneticPr fontId="8" type="noConversion"/>
  </si>
  <si>
    <t>Develop a personal study plan with Ning to guide him in systematically deepening his areas of interest.</t>
    <phoneticPr fontId="8" type="noConversion"/>
  </si>
  <si>
    <t>Recommend advanced learning materials and online courses to Ning.</t>
    <phoneticPr fontId="8" type="noConversion"/>
  </si>
  <si>
    <t>Tell Ning that he will naturally be exposed to these topics when he reaches higher grades.</t>
    <phoneticPr fontId="8" type="noConversion"/>
  </si>
  <si>
    <t>Encourage Ning to join the school’s subject competitions or research groups.</t>
    <phoneticPr fontId="8" type="noConversion"/>
  </si>
  <si>
    <t>You find that student Amy has always performed well in class, but the quality of her recent homework has declined significantly, with unnecessary mistakes even appearing. You observe that she seems inattentive lately and is less lively than usual during breaks. What would you do in this situation?</t>
    <phoneticPr fontId="8" type="noConversion"/>
  </si>
  <si>
    <t>Criticize Amy publicly during class to remind her to pay attention to homework quality.</t>
    <phoneticPr fontId="8" type="noConversion"/>
  </si>
  <si>
    <t>Increase the amount of homework to help Amy refocus on her studies.</t>
    <phoneticPr fontId="8" type="noConversion"/>
  </si>
  <si>
    <t>Speak with Amy privately to find out if she has encountered any difficulties or pressure.</t>
    <phoneticPr fontId="8" type="noConversion"/>
  </si>
  <si>
    <t>Discuss Amy’s situation with other teachers to see if there are common solutions.</t>
    <phoneticPr fontId="8" type="noConversion"/>
  </si>
  <si>
    <t>You notice that student Fan is always passive in group activities, reluctant to cooperate with classmates, and often chooses to complete tasks alone. Nowadays, teamwork is increasingly important, and you hope he can better integrate into the group. What would you do in this situation?</t>
    <phoneticPr fontId="8" type="noConversion"/>
  </si>
  <si>
    <t>Contact Fan’s parents and hope they can encourage his social development at home.</t>
    <phoneticPr fontId="8" type="noConversion"/>
  </si>
  <si>
    <t>Organize more teamwork-based activities during class.</t>
    <phoneticPr fontId="8" type="noConversion"/>
  </si>
  <si>
    <t>Force Fan to participate in all group activities and not act alone.</t>
    <phoneticPr fontId="8" type="noConversion"/>
  </si>
  <si>
    <t>Speak with Fan privately to understand his views and concerns about teamwork.</t>
    <phoneticPr fontId="8" type="noConversion"/>
  </si>
  <si>
    <t>学生小静向你提出，她对目前的学习内容感到无聊，希望尝试一些更具挑战性的任务。她表示，这些任务不仅能提升她的兴趣，也有助于她的个人成长。在这种情况下，你会怎么做？</t>
    <phoneticPr fontId="8" type="noConversion"/>
  </si>
  <si>
    <t>Jing, one of your students, tells you that she finds the current learning content boring and hopes to try more challenging tasks. She says that such tasks can not only increase her interest but also contribute to her personal growth. What would you do in this situation?</t>
    <phoneticPr fontId="8" type="noConversion"/>
  </si>
  <si>
    <t>Explore and design some challenging tasks that match her interests with Jing.</t>
    <phoneticPr fontId="8" type="noConversion"/>
  </si>
  <si>
    <t>Recommend advanced learning materials to Jing so that she can be exposed to more complex knowledge in advance.</t>
    <phoneticPr fontId="8" type="noConversion"/>
  </si>
  <si>
    <t>Ignore Jing’s request and stick to the established teaching plan.</t>
    <phoneticPr fontId="8" type="noConversion"/>
  </si>
  <si>
    <t>Encourage Jing to find and try more challenging learning content on her own in her spare time.</t>
    <phoneticPr fontId="8" type="noConversion"/>
  </si>
  <si>
    <t>You find that student Kai has original insights on a certain topic, and his viewpoints are always novel and creative. You hope to further develop his innovative thinking and abilities. What would you do in this situation?</t>
    <phoneticPr fontId="8" type="noConversion"/>
  </si>
  <si>
    <t>Provide Kai with extra learning resources to help him deepen his understanding on the topic.</t>
    <phoneticPr fontId="8" type="noConversion"/>
  </si>
  <si>
    <t>Organize a group discussion to give Kai the opportunity to lead his classmates in exploring the topic.</t>
    <phoneticPr fontId="8" type="noConversion"/>
  </si>
  <si>
    <t>Require Kai to study strictly according to the textbook and avoid being overly unconventional.</t>
    <phoneticPr fontId="8" type="noConversion"/>
  </si>
  <si>
    <t>Encourage Kai to share his viewpoints more often during class and provide positive feedback.</t>
    <phoneticPr fontId="8" type="noConversion"/>
  </si>
  <si>
    <t>During break time, student Lu confides in you that she has recently felt confused about her studies and does not know how to plan her study time and energy. She hopes you can give her some advice. What would you do in this situation?</t>
    <phoneticPr fontId="8" type="noConversion"/>
  </si>
  <si>
    <t>Analyze Lu’s study situation and goals with her, and jointly develop a study plan suitable for her.</t>
    <phoneticPr fontId="8" type="noConversion"/>
  </si>
  <si>
    <t>Recommend some study time management methods and skills to Lu.</t>
    <phoneticPr fontId="8" type="noConversion"/>
  </si>
  <si>
    <t>Tell Lu that everyone’s learning methods are different and let her explore gradually on her own.</t>
    <phoneticPr fontId="8" type="noConversion"/>
  </si>
  <si>
    <t>Directly provide Lu with a detailed study plan and ask her to follow it.</t>
    <phoneticPr fontId="8" type="noConversion"/>
  </si>
  <si>
    <t>You notice that student Xuan often raises his hand to speak in class, but sometimes his answers are inaccurate or even irrelevant to the lesson content. Nevertheless, he still shows great enthusiasm. What would you do in this situation?</t>
    <phoneticPr fontId="8" type="noConversion"/>
  </si>
  <si>
    <t>你注意到学生小萱在课堂上经常举手发言，但有时他的回答并不准确，甚至与课堂内容无关。尽管如此，他依然表现出极高的积极性。在这种情况下，你会怎么做？</t>
    <phoneticPr fontId="8" type="noConversion"/>
  </si>
  <si>
    <t>Publicly correct every mistake Xuan makes to ensure the accuracy of information in class.</t>
    <phoneticPr fontId="8" type="noConversion"/>
  </si>
  <si>
    <t>Affirm Xuan’s enthusiasm while guiding him to learn to think and express himself accurately.</t>
    <phoneticPr fontId="8" type="noConversion"/>
  </si>
  <si>
    <t>Ignore Xuan’s inaccurate answers to avoid discouraging his enthusiasm.</t>
    <phoneticPr fontId="8" type="noConversion"/>
  </si>
  <si>
    <t>Speak with Xuan privately to teach him how to make better use of opportunities to speak in class.</t>
    <phoneticPr fontId="8" type="noConversion"/>
  </si>
  <si>
    <t>学生小浩在课后向你反映，他觉得自己很努力，但成绩总是不尽如人意。他感到很沮丧，甚至开始怀疑自己的能力。在这种情况下，你会怎么做？</t>
    <phoneticPr fontId="8" type="noConversion"/>
  </si>
  <si>
    <t>Student Hao tells you after class that he thinks he has worked very hard, but his academic performance is always unsatisfactory. He feels frustrated and even begins to doubt his own ability. What would you do in this situation?</t>
    <phoneticPr fontId="8" type="noConversion"/>
  </si>
  <si>
    <t>Analyze Hao’s learning methods and habits with him to identify areas for improvement.</t>
    <phoneticPr fontId="8" type="noConversion"/>
  </si>
  <si>
    <t>Comfort Hao and tell him that hard work will surely pay off.</t>
    <phoneticPr fontId="8" type="noConversion"/>
  </si>
  <si>
    <t>Advise Hao to give up his current learning goals temporarily and try other fields.</t>
    <phoneticPr fontId="8" type="noConversion"/>
  </si>
  <si>
    <t>Encourage Hao to keep going and believe that time will prove his effort.</t>
    <phoneticPr fontId="8" type="noConversion"/>
  </si>
  <si>
    <t>You find that student Qing is always quiet in class, but her homework is done extremely well. You hope she can express herself more in class. What would you do in this situation?</t>
  </si>
  <si>
    <t>Call on Qing directly in class to give her more chances to express herself.</t>
    <phoneticPr fontId="8" type="noConversion"/>
  </si>
  <si>
    <t>Ignore Qing’s in-class performance as long as she does a good job on her homework.</t>
    <phoneticPr fontId="8" type="noConversion"/>
  </si>
  <si>
    <t>Speak with Qing privately to understand why she stays quiet in class and encourage her to participate actively.</t>
    <phoneticPr fontId="8" type="noConversion"/>
  </si>
  <si>
    <t>Make an agreement with other students to interact with Qing in class and encourage her to join discussions.</t>
    <phoneticPr fontId="8" type="noConversion"/>
  </si>
  <si>
    <t>Student Rui comes to you after class and says that he has a special interest in a certain topic and wants to conduct in-depth research on it. He asks whether you can supervise him on the related research project. What would you do in this situation?</t>
    <phoneticPr fontId="8" type="noConversion"/>
  </si>
  <si>
    <t>Tell Rui that you are busy and ask him to look for materials and study on his own.</t>
    <phoneticPr fontId="8" type="noConversion"/>
  </si>
  <si>
    <t>Help Rui contact teachers in other specialties so that he can receive more professional guidance.</t>
    <phoneticPr fontId="8" type="noConversion"/>
  </si>
  <si>
    <t>Advise Rui to wait until college to carry out in-depth research and focus on basic learning for now.</t>
    <phoneticPr fontId="8" type="noConversion"/>
  </si>
  <si>
    <t>Encourage Rui’s idea and promise to provide guidance within your available time and ability.</t>
    <phoneticPr fontId="8" type="noConversion"/>
  </si>
  <si>
    <t>You notice that student Yu’s scores have fluctuated greatly in recent quizzes—sometimes he performs excellently, and sometimes he falls far below the average. You are concerned about his unstable learning status and hope to help him improve steadily. What would you do in this situation?</t>
    <phoneticPr fontId="8" type="noConversion"/>
  </si>
  <si>
    <t>Criticize Yu publicly for his score fluctuations to motivate him to work hard and stabilize his grades.</t>
    <phoneticPr fontId="8" type="noConversion"/>
  </si>
  <si>
    <t>Increase the frequency of quizzes to help Yu better master the learning content.</t>
    <phoneticPr fontId="8" type="noConversion"/>
  </si>
  <si>
    <t>Ignore Yu’s score fluctuations and regard them as a normal phenomenon.</t>
    <phoneticPr fontId="8" type="noConversion"/>
  </si>
  <si>
    <t>Speak with Yu privately to find out the reason for his unstable learning status and offer help.</t>
    <phoneticPr fontId="8" type="noConversion"/>
  </si>
  <si>
    <t>Analyze specific cases with Lin to help her improve her conflict resolution skills.</t>
    <phoneticPr fontId="8" type="noConversion"/>
  </si>
  <si>
    <t>Tell Lin to stand firm on her own position and not compromise easily.</t>
    <phoneticPr fontId="8" type="noConversion"/>
  </si>
  <si>
    <t>Advise Lin to avoid participating in teamwork to prevent encountering similar problems again.</t>
    <phoneticPr fontId="8" type="noConversion"/>
  </si>
  <si>
    <t>Teach Lin some effective communication skills and teamwork methods.</t>
    <phoneticPr fontId="8" type="noConversion"/>
  </si>
  <si>
    <t>Student Lin tells you that she often encounters disagreements in teamwork, which troubles her a lot. She hopes you can give her some advice on how to deal with such situations. What would you do in this situation?</t>
    <phoneticPr fontId="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</si>
</sst>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宋体"/>
      <charset val="134"/>
      <scheme val="minor"/>
    </font>
    <font>
      <sz val="10"/>
      <color theme="1"/>
      <name val="Arial"/>
      <family val="2"/>
    </font>
    <font>
      <sz val="11"/>
      <color rgb="FF000000"/>
      <name val="宋体"/>
      <family val="2"/>
      <scheme val="minor"/>
    </font>
    <font>
      <sz val="10"/>
      <color theme="1"/>
      <name val="宋体-简"/>
      <family val="1"/>
      <charset val="134"/>
    </font>
    <font>
      <b/>
      <sz val="11"/>
      <color theme="1"/>
      <name val="宋体"/>
      <family val="2"/>
      <scheme val="minor"/>
    </font>
    <font>
      <b/>
      <sz val="11"/>
      <color rgb="FF00B0F0"/>
      <name val="宋体"/>
      <family val="2"/>
      <scheme val="minor"/>
    </font>
    <font>
      <b/>
      <sz val="11"/>
      <color rgb="FFC00000"/>
      <name val="宋体"/>
      <family val="2"/>
      <scheme val="minor"/>
    </font>
    <font>
      <b/>
      <sz val="11"/>
      <name val="宋体"/>
      <family val="2"/>
      <scheme val="minor"/>
    </font>
    <font>
      <sz val="9"/>
      <name val="宋体"/>
      <family val="3"/>
      <charset val="134"/>
      <scheme val="minor"/>
    </font>
    <font>
      <sz val="11"/>
      <color rgb="FF000000"/>
      <name val="Times New Roman"/>
      <family val="1"/>
    </font>
    <font>
      <sz val="10"/>
      <color theme="1"/>
      <name val="Times New Roman"/>
      <family val="1"/>
    </font>
  </fonts>
  <fills count="6">
    <fill>
      <patternFill patternType="none"/>
    </fill>
    <fill>
      <patternFill patternType="gray125"/>
    </fill>
    <fill>
      <patternFill patternType="solid">
        <fgColor theme="7" tint="0.79998168889431442"/>
        <bgColor indexed="64"/>
      </patternFill>
    </fill>
    <fill>
      <patternFill patternType="solid">
        <fgColor theme="6" tint="0.79998168889431442"/>
        <bgColor indexed="64"/>
      </patternFill>
    </fill>
    <fill>
      <patternFill patternType="solid">
        <fgColor theme="8" tint="0.79998168889431442"/>
        <bgColor indexed="64"/>
      </patternFill>
    </fill>
    <fill>
      <patternFill patternType="solid">
        <fgColor theme="5"/>
        <bgColor indexed="64"/>
      </patternFill>
    </fill>
  </fills>
  <borders count="1">
    <border>
      <left/>
      <right/>
      <top/>
      <bottom/>
      <diagonal/>
    </border>
  </borders>
  <cellStyleXfs count="1">
    <xf numFmtId="0" fontId="0" fillId="0" borderId="0"/>
  </cellStyleXfs>
  <cellXfs count="21">
    <xf numFmtId="0" fontId="0" fillId="0" borderId="0" xfId="0" applyAlignment="1">
      <alignment vertical="center"/>
    </xf>
    <xf numFmtId="0" fontId="0" fillId="0" borderId="0" xfId="0" applyAlignment="1">
      <alignment vertical="center" wrapText="1"/>
    </xf>
    <xf numFmtId="0" fontId="2" fillId="0" borderId="0" xfId="0" applyFont="1"/>
    <xf numFmtId="0" fontId="4" fillId="0" borderId="0" xfId="0" applyFont="1" applyAlignment="1">
      <alignment vertical="center"/>
    </xf>
    <xf numFmtId="0" fontId="0" fillId="4" borderId="0" xfId="0" applyFill="1" applyAlignment="1">
      <alignment vertical="center"/>
    </xf>
    <xf numFmtId="0" fontId="4" fillId="2" borderId="0" xfId="0" applyFont="1" applyFill="1" applyAlignment="1">
      <alignment vertical="center"/>
    </xf>
    <xf numFmtId="0" fontId="5" fillId="2" borderId="0" xfId="0" applyFont="1" applyFill="1" applyAlignment="1">
      <alignment vertical="center"/>
    </xf>
    <xf numFmtId="0" fontId="6" fillId="2" borderId="0" xfId="0" applyFont="1" applyFill="1" applyAlignment="1">
      <alignment vertical="center"/>
    </xf>
    <xf numFmtId="0" fontId="7" fillId="0" borderId="0" xfId="0" applyFont="1" applyAlignment="1">
      <alignment vertical="center"/>
    </xf>
    <xf numFmtId="0" fontId="5" fillId="0" borderId="0" xfId="0" applyFont="1" applyAlignment="1">
      <alignment vertical="center"/>
    </xf>
    <xf numFmtId="0" fontId="6" fillId="0" borderId="0" xfId="0" applyFont="1" applyAlignment="1">
      <alignment vertical="center"/>
    </xf>
    <xf numFmtId="0" fontId="7" fillId="2" borderId="0" xfId="0" applyFont="1" applyFill="1" applyAlignment="1">
      <alignment vertical="center"/>
    </xf>
    <xf numFmtId="0" fontId="2" fillId="3" borderId="0" xfId="0" applyFont="1" applyFill="1"/>
    <xf numFmtId="0" fontId="2" fillId="4" borderId="0" xfId="0" applyFont="1" applyFill="1"/>
    <xf numFmtId="0" fontId="2" fillId="2" borderId="0" xfId="0" applyFont="1" applyFill="1"/>
    <xf numFmtId="0" fontId="3" fillId="0" borderId="0" xfId="0" applyFont="1"/>
    <xf numFmtId="0" fontId="1" fillId="0" borderId="0" xfId="0" applyFont="1"/>
    <xf numFmtId="0" fontId="2" fillId="5" borderId="0" xfId="0" applyFont="1" applyFill="1"/>
    <xf numFmtId="0" fontId="9" fillId="2" borderId="0" xfId="0" applyFont="1" applyFill="1"/>
    <xf numFmtId="0" fontId="9" fillId="0" borderId="0" xfId="0" applyFont="1"/>
    <xf numFmtId="0" fontId="10" fillId="0" borderId="0" xfId="0" applyFont="1"/>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R73"/>
  <sheetViews>
    <sheetView tabSelected="1" zoomScale="111" zoomScaleNormal="111" workbookViewId="0">
      <selection activeCell="D59" sqref="D59"/>
    </sheetView>
  </sheetViews>
  <sheetFormatPr baseColWidth="10" defaultColWidth="9.1640625" defaultRowHeight="14"/>
  <cols>
    <col min="1" max="1" width="15.6640625" customWidth="1"/>
    <col min="2" max="3" width="35.83203125" style="1" customWidth="1"/>
    <col min="4" max="4" width="39.83203125" customWidth="1"/>
    <col min="5" max="5" width="29.33203125" customWidth="1"/>
    <col min="6" max="6" width="12.83203125" customWidth="1"/>
    <col min="7" max="16" width="9.1640625" customWidth="1"/>
    <col min="17" max="17" width="13.5" style="2"/>
    <col min="18" max="18" width="9.1640625" style="3"/>
  </cols>
  <sheetData>
    <row r="1" spans="1:18">
      <c r="A1" s="2" t="s">
        <v>0</v>
      </c>
      <c r="B1" s="2" t="s">
        <v>119</v>
      </c>
      <c r="C1" s="17" t="s">
        <v>121</v>
      </c>
      <c r="D1" s="2" t="s">
        <v>120</v>
      </c>
      <c r="E1" s="17" t="s">
        <v>122</v>
      </c>
      <c r="F1" s="12" t="s">
        <v>1</v>
      </c>
      <c r="G1" s="2" t="s">
        <v>110</v>
      </c>
      <c r="H1" s="2" t="s">
        <v>111</v>
      </c>
      <c r="I1" s="2" t="s">
        <v>112</v>
      </c>
      <c r="J1" s="2" t="s">
        <v>113</v>
      </c>
      <c r="K1" s="2" t="s">
        <v>114</v>
      </c>
      <c r="L1" s="2" t="s">
        <v>115</v>
      </c>
      <c r="M1" s="2" t="s">
        <v>116</v>
      </c>
      <c r="N1" s="2" t="s">
        <v>117</v>
      </c>
      <c r="O1" s="2" t="s">
        <v>118</v>
      </c>
      <c r="P1" s="13" t="s">
        <v>2</v>
      </c>
      <c r="Q1" s="2" t="s">
        <v>3</v>
      </c>
      <c r="R1" s="3" t="s">
        <v>4</v>
      </c>
    </row>
    <row r="2" spans="1:18" ht="20" customHeight="1">
      <c r="A2" s="14" t="s">
        <v>5</v>
      </c>
      <c r="B2" s="14" t="s">
        <v>6</v>
      </c>
      <c r="C2" s="14" t="s">
        <v>123</v>
      </c>
      <c r="D2" s="14" t="s">
        <v>7</v>
      </c>
      <c r="E2" s="18" t="s">
        <v>124</v>
      </c>
      <c r="F2" s="14">
        <v>1</v>
      </c>
      <c r="G2" s="14">
        <v>5</v>
      </c>
      <c r="H2" s="14">
        <v>5</v>
      </c>
      <c r="I2" s="14">
        <v>5</v>
      </c>
      <c r="J2" s="14">
        <v>4</v>
      </c>
      <c r="K2" s="14">
        <v>5</v>
      </c>
      <c r="L2" s="14">
        <v>5</v>
      </c>
      <c r="M2" s="14">
        <v>5</v>
      </c>
      <c r="N2" s="14">
        <v>4</v>
      </c>
      <c r="O2" s="14">
        <v>4</v>
      </c>
      <c r="P2" s="14">
        <v>4.6666666666666696</v>
      </c>
      <c r="Q2" s="14">
        <v>1</v>
      </c>
      <c r="R2" s="5">
        <f>F2-Q2</f>
        <v>0</v>
      </c>
    </row>
    <row r="3" spans="1:18">
      <c r="A3" s="14" t="s">
        <v>5</v>
      </c>
      <c r="B3" s="14" t="s">
        <v>6</v>
      </c>
      <c r="C3" s="14" t="s">
        <v>123</v>
      </c>
      <c r="D3" s="14" t="s">
        <v>8</v>
      </c>
      <c r="E3" s="18" t="s">
        <v>125</v>
      </c>
      <c r="F3" s="14">
        <v>2</v>
      </c>
      <c r="G3" s="14">
        <v>5</v>
      </c>
      <c r="H3" s="14">
        <v>5</v>
      </c>
      <c r="I3" s="14">
        <v>4</v>
      </c>
      <c r="J3" s="14">
        <v>5</v>
      </c>
      <c r="K3" s="14">
        <v>5</v>
      </c>
      <c r="L3" s="14">
        <v>5</v>
      </c>
      <c r="M3" s="14">
        <v>5</v>
      </c>
      <c r="N3" s="14">
        <v>5</v>
      </c>
      <c r="O3" s="14">
        <v>4</v>
      </c>
      <c r="P3" s="14">
        <v>4.7777777777777803</v>
      </c>
      <c r="Q3" s="14">
        <v>2</v>
      </c>
      <c r="R3" s="5">
        <f t="shared" ref="R3:R35" si="0">F3-Q3</f>
        <v>0</v>
      </c>
    </row>
    <row r="4" spans="1:18">
      <c r="A4" s="14" t="s">
        <v>5</v>
      </c>
      <c r="B4" s="14" t="s">
        <v>6</v>
      </c>
      <c r="C4" s="14" t="s">
        <v>123</v>
      </c>
      <c r="D4" s="14" t="s">
        <v>9</v>
      </c>
      <c r="E4" s="18" t="s">
        <v>127</v>
      </c>
      <c r="F4" s="14">
        <v>0</v>
      </c>
      <c r="G4" s="14">
        <v>1</v>
      </c>
      <c r="H4" s="14">
        <v>2</v>
      </c>
      <c r="I4" s="14">
        <v>4</v>
      </c>
      <c r="J4" s="14">
        <v>3</v>
      </c>
      <c r="K4" s="14">
        <v>2</v>
      </c>
      <c r="L4" s="14">
        <v>3</v>
      </c>
      <c r="M4" s="14">
        <v>2</v>
      </c>
      <c r="N4" s="14">
        <v>1</v>
      </c>
      <c r="O4" s="14">
        <v>1</v>
      </c>
      <c r="P4" s="14">
        <v>2.1111111111111098</v>
      </c>
      <c r="Q4" s="14">
        <v>0</v>
      </c>
      <c r="R4" s="5">
        <f t="shared" si="0"/>
        <v>0</v>
      </c>
    </row>
    <row r="5" spans="1:18">
      <c r="A5" s="14" t="s">
        <v>5</v>
      </c>
      <c r="B5" s="14" t="s">
        <v>6</v>
      </c>
      <c r="C5" s="14" t="s">
        <v>123</v>
      </c>
      <c r="D5" s="14" t="s">
        <v>10</v>
      </c>
      <c r="E5" s="18" t="s">
        <v>126</v>
      </c>
      <c r="F5" s="14">
        <v>1</v>
      </c>
      <c r="G5" s="14">
        <v>5</v>
      </c>
      <c r="H5" s="14">
        <v>5</v>
      </c>
      <c r="I5" s="14">
        <v>5</v>
      </c>
      <c r="J5" s="14">
        <v>3</v>
      </c>
      <c r="K5" s="14">
        <v>3</v>
      </c>
      <c r="L5" s="14">
        <v>5</v>
      </c>
      <c r="M5" s="14">
        <v>5</v>
      </c>
      <c r="N5" s="14">
        <v>3</v>
      </c>
      <c r="O5" s="14">
        <v>4</v>
      </c>
      <c r="P5" s="14">
        <v>4.2222222222222197</v>
      </c>
      <c r="Q5" s="14">
        <v>1</v>
      </c>
      <c r="R5" s="5">
        <f t="shared" si="0"/>
        <v>0</v>
      </c>
    </row>
    <row r="6" spans="1:18">
      <c r="A6" s="2" t="s">
        <v>11</v>
      </c>
      <c r="B6" s="2" t="s">
        <v>12</v>
      </c>
      <c r="C6" s="2" t="s">
        <v>128</v>
      </c>
      <c r="D6" s="2" t="s">
        <v>13</v>
      </c>
      <c r="E6" s="19" t="s">
        <v>129</v>
      </c>
      <c r="F6" s="12">
        <v>1</v>
      </c>
      <c r="G6" s="2">
        <v>5</v>
      </c>
      <c r="H6" s="2">
        <v>4</v>
      </c>
      <c r="I6" s="2">
        <v>4</v>
      </c>
      <c r="J6" s="2">
        <v>5</v>
      </c>
      <c r="K6" s="2">
        <v>5</v>
      </c>
      <c r="L6" s="2">
        <v>5</v>
      </c>
      <c r="M6" s="2">
        <v>4</v>
      </c>
      <c r="N6" s="2">
        <v>4</v>
      </c>
      <c r="O6" s="2">
        <v>3</v>
      </c>
      <c r="P6" s="13">
        <v>4.3333333333333304</v>
      </c>
      <c r="Q6" s="2">
        <v>1</v>
      </c>
      <c r="R6" s="3">
        <f t="shared" si="0"/>
        <v>0</v>
      </c>
    </row>
    <row r="7" spans="1:18">
      <c r="A7" s="2" t="s">
        <v>11</v>
      </c>
      <c r="B7" s="2" t="s">
        <v>12</v>
      </c>
      <c r="C7" s="2" t="s">
        <v>128</v>
      </c>
      <c r="D7" s="2" t="s">
        <v>14</v>
      </c>
      <c r="E7" s="19" t="s">
        <v>130</v>
      </c>
      <c r="F7" s="12">
        <v>1</v>
      </c>
      <c r="G7" s="2">
        <v>5</v>
      </c>
      <c r="H7" s="2">
        <v>4</v>
      </c>
      <c r="I7" s="2">
        <v>4</v>
      </c>
      <c r="J7" s="2">
        <v>4</v>
      </c>
      <c r="K7" s="2">
        <v>5</v>
      </c>
      <c r="L7" s="2">
        <v>5</v>
      </c>
      <c r="M7" s="2">
        <v>4</v>
      </c>
      <c r="N7" s="2">
        <v>4</v>
      </c>
      <c r="O7" s="2">
        <v>4</v>
      </c>
      <c r="P7" s="13">
        <v>4.3333333333333304</v>
      </c>
      <c r="Q7" s="2">
        <v>1</v>
      </c>
      <c r="R7" s="3">
        <f t="shared" si="0"/>
        <v>0</v>
      </c>
    </row>
    <row r="8" spans="1:18">
      <c r="A8" s="2" t="s">
        <v>11</v>
      </c>
      <c r="B8" s="2" t="s">
        <v>12</v>
      </c>
      <c r="C8" s="2" t="s">
        <v>128</v>
      </c>
      <c r="D8" s="2" t="s">
        <v>15</v>
      </c>
      <c r="E8" s="19" t="s">
        <v>131</v>
      </c>
      <c r="F8" s="12">
        <v>0</v>
      </c>
      <c r="G8" s="2">
        <v>5</v>
      </c>
      <c r="H8" s="2">
        <v>2</v>
      </c>
      <c r="I8" s="2">
        <v>4</v>
      </c>
      <c r="J8" s="2">
        <v>2</v>
      </c>
      <c r="K8" s="2">
        <v>2</v>
      </c>
      <c r="L8" s="2">
        <v>3</v>
      </c>
      <c r="M8" s="2">
        <v>3</v>
      </c>
      <c r="N8" s="2">
        <v>3</v>
      </c>
      <c r="O8" s="2">
        <v>1</v>
      </c>
      <c r="P8" s="13">
        <v>2.7777777777777799</v>
      </c>
      <c r="Q8" s="2">
        <v>0</v>
      </c>
      <c r="R8" s="3">
        <f t="shared" si="0"/>
        <v>0</v>
      </c>
    </row>
    <row r="9" spans="1:18">
      <c r="A9" s="2" t="s">
        <v>11</v>
      </c>
      <c r="B9" s="2" t="s">
        <v>12</v>
      </c>
      <c r="C9" s="2" t="s">
        <v>128</v>
      </c>
      <c r="D9" s="2" t="s">
        <v>16</v>
      </c>
      <c r="E9" s="19" t="s">
        <v>132</v>
      </c>
      <c r="F9" s="12">
        <v>2</v>
      </c>
      <c r="G9" s="2">
        <v>5</v>
      </c>
      <c r="H9" s="2">
        <v>5</v>
      </c>
      <c r="I9" s="2">
        <v>5</v>
      </c>
      <c r="J9" s="2">
        <v>5</v>
      </c>
      <c r="K9" s="2">
        <v>5</v>
      </c>
      <c r="L9" s="2">
        <v>5</v>
      </c>
      <c r="M9" s="2">
        <v>4</v>
      </c>
      <c r="N9" s="2">
        <v>5</v>
      </c>
      <c r="O9" s="2">
        <v>4</v>
      </c>
      <c r="P9" s="13">
        <v>4.7777777777777803</v>
      </c>
      <c r="Q9" s="2">
        <v>2</v>
      </c>
      <c r="R9" s="3">
        <f t="shared" si="0"/>
        <v>0</v>
      </c>
    </row>
    <row r="10" spans="1:18">
      <c r="A10" s="14" t="s">
        <v>17</v>
      </c>
      <c r="B10" s="14" t="s">
        <v>18</v>
      </c>
      <c r="C10" s="14" t="s">
        <v>133</v>
      </c>
      <c r="D10" s="14" t="s">
        <v>19</v>
      </c>
      <c r="E10" s="18" t="s">
        <v>134</v>
      </c>
      <c r="F10" s="14">
        <v>1</v>
      </c>
      <c r="G10" s="14">
        <v>4</v>
      </c>
      <c r="H10" s="14">
        <v>4</v>
      </c>
      <c r="I10" s="14">
        <v>5</v>
      </c>
      <c r="J10" s="14">
        <v>3</v>
      </c>
      <c r="K10" s="14">
        <v>4</v>
      </c>
      <c r="L10" s="14">
        <v>5</v>
      </c>
      <c r="M10" s="14">
        <v>4</v>
      </c>
      <c r="N10" s="14">
        <v>4</v>
      </c>
      <c r="O10" s="14">
        <v>3</v>
      </c>
      <c r="P10" s="14">
        <v>4</v>
      </c>
      <c r="Q10" s="14">
        <v>1</v>
      </c>
      <c r="R10" s="5">
        <f t="shared" si="0"/>
        <v>0</v>
      </c>
    </row>
    <row r="11" spans="1:18">
      <c r="A11" s="14" t="s">
        <v>17</v>
      </c>
      <c r="B11" s="14" t="s">
        <v>18</v>
      </c>
      <c r="C11" s="14" t="s">
        <v>133</v>
      </c>
      <c r="D11" s="14" t="s">
        <v>20</v>
      </c>
      <c r="E11" s="18" t="s">
        <v>137</v>
      </c>
      <c r="F11" s="14">
        <v>0</v>
      </c>
      <c r="G11" s="14">
        <v>1</v>
      </c>
      <c r="H11" s="14">
        <v>2</v>
      </c>
      <c r="I11" s="14">
        <v>2</v>
      </c>
      <c r="J11" s="14">
        <v>2</v>
      </c>
      <c r="K11" s="14">
        <v>1</v>
      </c>
      <c r="L11" s="14">
        <v>2</v>
      </c>
      <c r="M11" s="14">
        <v>2</v>
      </c>
      <c r="N11" s="14">
        <v>1</v>
      </c>
      <c r="O11" s="14">
        <v>1</v>
      </c>
      <c r="P11" s="14">
        <v>1.55555555555556</v>
      </c>
      <c r="Q11" s="14">
        <v>0</v>
      </c>
      <c r="R11" s="5">
        <f t="shared" si="0"/>
        <v>0</v>
      </c>
    </row>
    <row r="12" spans="1:18">
      <c r="A12" s="14" t="s">
        <v>17</v>
      </c>
      <c r="B12" s="14" t="s">
        <v>18</v>
      </c>
      <c r="C12" s="14" t="s">
        <v>133</v>
      </c>
      <c r="D12" s="14" t="s">
        <v>21</v>
      </c>
      <c r="E12" s="18" t="s">
        <v>135</v>
      </c>
      <c r="F12" s="14">
        <v>2</v>
      </c>
      <c r="G12" s="14">
        <v>5</v>
      </c>
      <c r="H12" s="14">
        <v>4</v>
      </c>
      <c r="I12" s="14">
        <v>5</v>
      </c>
      <c r="J12" s="14">
        <v>5</v>
      </c>
      <c r="K12" s="14">
        <v>3</v>
      </c>
      <c r="L12" s="14">
        <v>5</v>
      </c>
      <c r="M12" s="14">
        <v>4</v>
      </c>
      <c r="N12" s="14">
        <v>4</v>
      </c>
      <c r="O12" s="14">
        <v>4</v>
      </c>
      <c r="P12" s="14">
        <v>4.3333333333333304</v>
      </c>
      <c r="Q12" s="14">
        <v>2</v>
      </c>
      <c r="R12" s="5">
        <f t="shared" si="0"/>
        <v>0</v>
      </c>
    </row>
    <row r="13" spans="1:18">
      <c r="A13" s="14" t="s">
        <v>17</v>
      </c>
      <c r="B13" s="14" t="s">
        <v>18</v>
      </c>
      <c r="C13" s="14" t="s">
        <v>133</v>
      </c>
      <c r="D13" s="14" t="s">
        <v>22</v>
      </c>
      <c r="E13" s="18" t="s">
        <v>136</v>
      </c>
      <c r="F13" s="14">
        <v>1</v>
      </c>
      <c r="G13" s="14">
        <v>5</v>
      </c>
      <c r="H13" s="14">
        <v>4</v>
      </c>
      <c r="I13" s="14">
        <v>5</v>
      </c>
      <c r="J13" s="14">
        <v>5</v>
      </c>
      <c r="K13" s="14">
        <v>5</v>
      </c>
      <c r="L13" s="14">
        <v>5</v>
      </c>
      <c r="M13" s="14">
        <v>3</v>
      </c>
      <c r="N13" s="14">
        <v>3</v>
      </c>
      <c r="O13" s="14">
        <v>4</v>
      </c>
      <c r="P13" s="14">
        <v>4.3333333333333304</v>
      </c>
      <c r="Q13" s="14">
        <v>2</v>
      </c>
      <c r="R13" s="6">
        <f t="shared" si="0"/>
        <v>-1</v>
      </c>
    </row>
    <row r="14" spans="1:18">
      <c r="A14" s="2" t="s">
        <v>23</v>
      </c>
      <c r="B14" s="2" t="s">
        <v>24</v>
      </c>
      <c r="C14" s="2" t="s">
        <v>138</v>
      </c>
      <c r="D14" s="2" t="s">
        <v>25</v>
      </c>
      <c r="E14" s="19" t="s">
        <v>139</v>
      </c>
      <c r="F14" s="12">
        <v>1</v>
      </c>
      <c r="G14" s="2">
        <v>5</v>
      </c>
      <c r="H14" s="2">
        <v>4</v>
      </c>
      <c r="I14" s="2">
        <v>4</v>
      </c>
      <c r="J14" s="2">
        <v>5</v>
      </c>
      <c r="K14" s="2">
        <v>4</v>
      </c>
      <c r="L14" s="2">
        <v>5</v>
      </c>
      <c r="M14" s="2">
        <v>4</v>
      </c>
      <c r="N14" s="2">
        <v>3</v>
      </c>
      <c r="O14" s="2">
        <v>4</v>
      </c>
      <c r="P14" s="13">
        <v>4.2222222222222197</v>
      </c>
      <c r="Q14" s="2">
        <v>1</v>
      </c>
      <c r="R14" s="3">
        <f t="shared" si="0"/>
        <v>0</v>
      </c>
    </row>
    <row r="15" spans="1:18">
      <c r="A15" s="2" t="s">
        <v>23</v>
      </c>
      <c r="B15" s="2" t="s">
        <v>24</v>
      </c>
      <c r="C15" s="2" t="s">
        <v>138</v>
      </c>
      <c r="D15" s="2" t="s">
        <v>26</v>
      </c>
      <c r="E15" s="19" t="s">
        <v>140</v>
      </c>
      <c r="F15" s="12">
        <v>1</v>
      </c>
      <c r="G15" s="2">
        <v>5</v>
      </c>
      <c r="H15" s="2">
        <v>3</v>
      </c>
      <c r="I15" s="2">
        <v>5</v>
      </c>
      <c r="J15" s="2">
        <v>5</v>
      </c>
      <c r="K15" s="2">
        <v>5</v>
      </c>
      <c r="L15" s="2">
        <v>5</v>
      </c>
      <c r="M15" s="2">
        <v>4</v>
      </c>
      <c r="N15" s="2">
        <v>4</v>
      </c>
      <c r="O15" s="2">
        <v>4</v>
      </c>
      <c r="P15" s="13">
        <v>4.4444444444444402</v>
      </c>
      <c r="Q15" s="2">
        <v>1</v>
      </c>
      <c r="R15" s="3">
        <f t="shared" si="0"/>
        <v>0</v>
      </c>
    </row>
    <row r="16" spans="1:18">
      <c r="A16" s="2" t="s">
        <v>23</v>
      </c>
      <c r="B16" s="2" t="s">
        <v>24</v>
      </c>
      <c r="C16" s="2" t="s">
        <v>138</v>
      </c>
      <c r="D16" s="2" t="s">
        <v>27</v>
      </c>
      <c r="E16" s="19" t="s">
        <v>141</v>
      </c>
      <c r="F16" s="12">
        <v>0</v>
      </c>
      <c r="G16" s="2">
        <v>3</v>
      </c>
      <c r="H16" s="2">
        <v>3</v>
      </c>
      <c r="I16" s="2">
        <v>3</v>
      </c>
      <c r="J16" s="2">
        <v>3</v>
      </c>
      <c r="K16" s="2">
        <v>1</v>
      </c>
      <c r="L16" s="2">
        <v>5</v>
      </c>
      <c r="M16" s="2">
        <v>3</v>
      </c>
      <c r="N16" s="2">
        <v>3</v>
      </c>
      <c r="O16" s="2">
        <v>3</v>
      </c>
      <c r="P16" s="13">
        <v>3</v>
      </c>
      <c r="Q16" s="2">
        <v>0</v>
      </c>
      <c r="R16" s="3">
        <f t="shared" si="0"/>
        <v>0</v>
      </c>
    </row>
    <row r="17" spans="1:18">
      <c r="A17" s="2" t="s">
        <v>23</v>
      </c>
      <c r="B17" s="2" t="s">
        <v>24</v>
      </c>
      <c r="C17" s="2" t="s">
        <v>138</v>
      </c>
      <c r="D17" s="2" t="s">
        <v>28</v>
      </c>
      <c r="E17" s="19" t="s">
        <v>142</v>
      </c>
      <c r="F17" s="12">
        <v>2</v>
      </c>
      <c r="G17" s="2">
        <v>5</v>
      </c>
      <c r="H17" s="2">
        <v>5</v>
      </c>
      <c r="I17" s="2">
        <v>5</v>
      </c>
      <c r="J17" s="2">
        <v>5</v>
      </c>
      <c r="K17" s="2">
        <v>5</v>
      </c>
      <c r="L17" s="2">
        <v>5</v>
      </c>
      <c r="M17" s="2">
        <v>4</v>
      </c>
      <c r="N17" s="2">
        <v>5</v>
      </c>
      <c r="O17" s="2">
        <v>5</v>
      </c>
      <c r="P17" s="13">
        <v>4.8888888888888902</v>
      </c>
      <c r="Q17" s="2">
        <v>2</v>
      </c>
      <c r="R17" s="3">
        <f t="shared" si="0"/>
        <v>0</v>
      </c>
    </row>
    <row r="18" spans="1:18">
      <c r="A18" s="14" t="s">
        <v>29</v>
      </c>
      <c r="B18" s="14" t="s">
        <v>30</v>
      </c>
      <c r="C18" s="14" t="s">
        <v>143</v>
      </c>
      <c r="D18" s="14" t="s">
        <v>31</v>
      </c>
      <c r="E18" s="18" t="s">
        <v>144</v>
      </c>
      <c r="F18" s="14">
        <v>1</v>
      </c>
      <c r="G18" s="14">
        <v>5</v>
      </c>
      <c r="H18" s="14">
        <v>5</v>
      </c>
      <c r="I18" s="14">
        <v>4</v>
      </c>
      <c r="J18" s="14">
        <v>5</v>
      </c>
      <c r="K18" s="14">
        <v>4</v>
      </c>
      <c r="L18" s="14">
        <v>5</v>
      </c>
      <c r="M18" s="14">
        <v>4</v>
      </c>
      <c r="N18" s="14">
        <v>3</v>
      </c>
      <c r="O18" s="14">
        <v>5</v>
      </c>
      <c r="P18" s="14">
        <v>4.4444444444444402</v>
      </c>
      <c r="Q18" s="14">
        <v>1</v>
      </c>
      <c r="R18" s="5">
        <f t="shared" si="0"/>
        <v>0</v>
      </c>
    </row>
    <row r="19" spans="1:18">
      <c r="A19" s="14" t="s">
        <v>29</v>
      </c>
      <c r="B19" s="14" t="s">
        <v>30</v>
      </c>
      <c r="C19" s="14" t="s">
        <v>143</v>
      </c>
      <c r="D19" s="14" t="s">
        <v>32</v>
      </c>
      <c r="E19" s="18" t="s">
        <v>145</v>
      </c>
      <c r="F19" s="14">
        <v>1</v>
      </c>
      <c r="G19" s="14">
        <v>5</v>
      </c>
      <c r="H19" s="14">
        <v>4</v>
      </c>
      <c r="I19" s="14">
        <v>4</v>
      </c>
      <c r="J19" s="14">
        <v>5</v>
      </c>
      <c r="K19" s="14">
        <v>5</v>
      </c>
      <c r="L19" s="14">
        <v>3</v>
      </c>
      <c r="M19" s="14">
        <v>4</v>
      </c>
      <c r="N19" s="14">
        <v>4</v>
      </c>
      <c r="O19" s="14">
        <v>5</v>
      </c>
      <c r="P19" s="14">
        <v>4.3333333333333304</v>
      </c>
      <c r="Q19" s="14">
        <v>1</v>
      </c>
      <c r="R19" s="5">
        <f t="shared" si="0"/>
        <v>0</v>
      </c>
    </row>
    <row r="20" spans="1:18">
      <c r="A20" s="14" t="s">
        <v>29</v>
      </c>
      <c r="B20" s="14" t="s">
        <v>30</v>
      </c>
      <c r="C20" s="14" t="s">
        <v>143</v>
      </c>
      <c r="D20" s="14" t="s">
        <v>33</v>
      </c>
      <c r="E20" s="18" t="s">
        <v>147</v>
      </c>
      <c r="F20" s="14">
        <v>0</v>
      </c>
      <c r="G20" s="14">
        <v>1</v>
      </c>
      <c r="H20" s="14">
        <v>3</v>
      </c>
      <c r="I20" s="14">
        <v>4</v>
      </c>
      <c r="J20" s="14">
        <v>2</v>
      </c>
      <c r="K20" s="14">
        <v>1</v>
      </c>
      <c r="L20" s="14">
        <v>2</v>
      </c>
      <c r="M20" s="14">
        <v>2</v>
      </c>
      <c r="N20" s="14">
        <v>3</v>
      </c>
      <c r="O20" s="14">
        <v>1</v>
      </c>
      <c r="P20" s="14">
        <v>2.1111111111111098</v>
      </c>
      <c r="Q20" s="14">
        <v>0</v>
      </c>
      <c r="R20" s="5">
        <f t="shared" si="0"/>
        <v>0</v>
      </c>
    </row>
    <row r="21" spans="1:18">
      <c r="A21" s="14" t="s">
        <v>29</v>
      </c>
      <c r="B21" s="14" t="s">
        <v>30</v>
      </c>
      <c r="C21" s="14" t="s">
        <v>143</v>
      </c>
      <c r="D21" s="14" t="s">
        <v>34</v>
      </c>
      <c r="E21" s="18" t="s">
        <v>146</v>
      </c>
      <c r="F21" s="14">
        <v>2</v>
      </c>
      <c r="G21" s="14">
        <v>5</v>
      </c>
      <c r="H21" s="14">
        <v>5</v>
      </c>
      <c r="I21" s="14">
        <v>5</v>
      </c>
      <c r="J21" s="14">
        <v>5</v>
      </c>
      <c r="K21" s="14">
        <v>5</v>
      </c>
      <c r="L21" s="14">
        <v>5</v>
      </c>
      <c r="M21" s="14">
        <v>4</v>
      </c>
      <c r="N21" s="14">
        <v>5</v>
      </c>
      <c r="O21" s="14">
        <v>5</v>
      </c>
      <c r="P21" s="14">
        <v>4.8888888888888902</v>
      </c>
      <c r="Q21" s="14">
        <v>2</v>
      </c>
      <c r="R21" s="5">
        <f t="shared" si="0"/>
        <v>0</v>
      </c>
    </row>
    <row r="22" spans="1:18">
      <c r="A22" s="2" t="s">
        <v>35</v>
      </c>
      <c r="B22" s="2" t="s">
        <v>36</v>
      </c>
      <c r="C22" s="2" t="s">
        <v>148</v>
      </c>
      <c r="D22" s="2" t="s">
        <v>37</v>
      </c>
      <c r="E22" s="19" t="s">
        <v>149</v>
      </c>
      <c r="F22" s="12">
        <v>2</v>
      </c>
      <c r="G22" s="2">
        <v>5</v>
      </c>
      <c r="H22" s="2">
        <v>5</v>
      </c>
      <c r="I22" s="2">
        <v>4</v>
      </c>
      <c r="J22" s="2">
        <v>5</v>
      </c>
      <c r="K22" s="2">
        <v>5</v>
      </c>
      <c r="L22" s="2">
        <v>4</v>
      </c>
      <c r="M22" s="2">
        <v>4</v>
      </c>
      <c r="N22" s="2">
        <v>5</v>
      </c>
      <c r="O22" s="2">
        <v>5</v>
      </c>
      <c r="P22" s="13">
        <v>4.6666666666666696</v>
      </c>
      <c r="Q22" s="2">
        <v>2</v>
      </c>
      <c r="R22" s="3">
        <f t="shared" si="0"/>
        <v>0</v>
      </c>
    </row>
    <row r="23" spans="1:18">
      <c r="A23" s="2" t="s">
        <v>35</v>
      </c>
      <c r="B23" s="2" t="s">
        <v>36</v>
      </c>
      <c r="C23" s="2" t="s">
        <v>148</v>
      </c>
      <c r="D23" s="2" t="s">
        <v>38</v>
      </c>
      <c r="E23" s="19" t="s">
        <v>150</v>
      </c>
      <c r="F23" s="12">
        <v>0</v>
      </c>
      <c r="G23" s="2">
        <v>1</v>
      </c>
      <c r="H23" s="2">
        <v>3</v>
      </c>
      <c r="I23" s="2">
        <v>2</v>
      </c>
      <c r="J23" s="2">
        <v>2</v>
      </c>
      <c r="K23" s="2">
        <v>1</v>
      </c>
      <c r="L23" s="2">
        <v>2</v>
      </c>
      <c r="M23" s="2">
        <v>4</v>
      </c>
      <c r="N23" s="2">
        <v>3</v>
      </c>
      <c r="O23" s="2">
        <v>2</v>
      </c>
      <c r="P23" s="13">
        <v>2.2222222222222201</v>
      </c>
      <c r="Q23" s="2">
        <v>0</v>
      </c>
      <c r="R23" s="3">
        <f t="shared" si="0"/>
        <v>0</v>
      </c>
    </row>
    <row r="24" spans="1:18">
      <c r="A24" s="2" t="s">
        <v>35</v>
      </c>
      <c r="B24" s="2" t="s">
        <v>36</v>
      </c>
      <c r="C24" s="2" t="s">
        <v>148</v>
      </c>
      <c r="D24" s="2" t="s">
        <v>39</v>
      </c>
      <c r="E24" s="19" t="s">
        <v>151</v>
      </c>
      <c r="F24" s="12">
        <v>1</v>
      </c>
      <c r="G24" s="2">
        <v>5</v>
      </c>
      <c r="H24" s="2">
        <v>5</v>
      </c>
      <c r="I24" s="2">
        <v>5</v>
      </c>
      <c r="J24" s="2">
        <v>4</v>
      </c>
      <c r="K24" s="2">
        <v>4</v>
      </c>
      <c r="L24" s="2">
        <v>3</v>
      </c>
      <c r="M24" s="2">
        <v>3</v>
      </c>
      <c r="N24" s="2">
        <v>4</v>
      </c>
      <c r="O24" s="2">
        <v>5</v>
      </c>
      <c r="P24" s="13">
        <v>4.2222222222222197</v>
      </c>
      <c r="Q24" s="2">
        <v>1</v>
      </c>
      <c r="R24" s="3">
        <f t="shared" si="0"/>
        <v>0</v>
      </c>
    </row>
    <row r="25" spans="1:18">
      <c r="A25" s="2" t="s">
        <v>35</v>
      </c>
      <c r="B25" s="2" t="s">
        <v>36</v>
      </c>
      <c r="C25" s="2" t="s">
        <v>148</v>
      </c>
      <c r="D25" s="2" t="s">
        <v>40</v>
      </c>
      <c r="E25" s="19" t="s">
        <v>152</v>
      </c>
      <c r="F25" s="12">
        <v>1</v>
      </c>
      <c r="G25" s="2">
        <v>5</v>
      </c>
      <c r="H25" s="2">
        <v>5</v>
      </c>
      <c r="I25" s="2">
        <v>5</v>
      </c>
      <c r="J25" s="2">
        <v>3</v>
      </c>
      <c r="K25" s="2">
        <v>3</v>
      </c>
      <c r="L25" s="2">
        <v>4</v>
      </c>
      <c r="M25" s="2">
        <v>4</v>
      </c>
      <c r="N25" s="2">
        <v>4</v>
      </c>
      <c r="O25" s="2">
        <v>4</v>
      </c>
      <c r="P25" s="13">
        <v>4.1111111111111098</v>
      </c>
      <c r="Q25" s="2">
        <v>1</v>
      </c>
      <c r="R25" s="3">
        <f t="shared" si="0"/>
        <v>0</v>
      </c>
    </row>
    <row r="26" spans="1:18">
      <c r="A26" s="14" t="s">
        <v>41</v>
      </c>
      <c r="B26" s="14" t="s">
        <v>42</v>
      </c>
      <c r="C26" s="14" t="s">
        <v>153</v>
      </c>
      <c r="D26" s="14" t="s">
        <v>43</v>
      </c>
      <c r="E26" s="18" t="s">
        <v>154</v>
      </c>
      <c r="F26" s="14">
        <v>1</v>
      </c>
      <c r="G26" s="14">
        <v>5</v>
      </c>
      <c r="H26" s="14">
        <v>5</v>
      </c>
      <c r="I26" s="14">
        <v>5</v>
      </c>
      <c r="J26" s="14">
        <v>4</v>
      </c>
      <c r="K26" s="14">
        <v>5</v>
      </c>
      <c r="L26" s="14">
        <v>4</v>
      </c>
      <c r="M26" s="14">
        <v>4</v>
      </c>
      <c r="N26" s="14">
        <v>3</v>
      </c>
      <c r="O26" s="14">
        <v>5</v>
      </c>
      <c r="P26" s="14">
        <v>4.4444444444444402</v>
      </c>
      <c r="Q26" s="14">
        <v>2</v>
      </c>
      <c r="R26" s="6">
        <f t="shared" si="0"/>
        <v>-1</v>
      </c>
    </row>
    <row r="27" spans="1:18">
      <c r="A27" s="14" t="s">
        <v>41</v>
      </c>
      <c r="B27" s="14" t="s">
        <v>42</v>
      </c>
      <c r="C27" s="14"/>
      <c r="D27" s="14" t="s">
        <v>44</v>
      </c>
      <c r="E27" s="18" t="s">
        <v>155</v>
      </c>
      <c r="F27" s="14">
        <v>1</v>
      </c>
      <c r="G27" s="14">
        <v>5</v>
      </c>
      <c r="H27" s="14">
        <v>5</v>
      </c>
      <c r="I27" s="14">
        <v>5</v>
      </c>
      <c r="J27" s="14">
        <v>5</v>
      </c>
      <c r="K27" s="14">
        <v>3</v>
      </c>
      <c r="L27" s="14">
        <v>5</v>
      </c>
      <c r="M27" s="14">
        <v>3</v>
      </c>
      <c r="N27" s="14">
        <v>4</v>
      </c>
      <c r="O27" s="14">
        <v>5</v>
      </c>
      <c r="P27" s="14">
        <v>4.4444444444444402</v>
      </c>
      <c r="Q27" s="14">
        <v>2</v>
      </c>
      <c r="R27" s="6">
        <f t="shared" si="0"/>
        <v>-1</v>
      </c>
    </row>
    <row r="28" spans="1:18">
      <c r="A28" s="14" t="s">
        <v>41</v>
      </c>
      <c r="B28" s="14" t="s">
        <v>42</v>
      </c>
      <c r="C28" s="14"/>
      <c r="D28" s="14" t="s">
        <v>45</v>
      </c>
      <c r="E28" s="18" t="s">
        <v>156</v>
      </c>
      <c r="F28" s="14">
        <v>0</v>
      </c>
      <c r="G28" s="14">
        <v>5</v>
      </c>
      <c r="H28" s="14">
        <v>4</v>
      </c>
      <c r="I28" s="14">
        <v>2</v>
      </c>
      <c r="J28" s="14">
        <v>2</v>
      </c>
      <c r="K28" s="14">
        <v>4</v>
      </c>
      <c r="L28" s="14">
        <v>3</v>
      </c>
      <c r="M28" s="14">
        <v>3</v>
      </c>
      <c r="N28" s="14">
        <v>3</v>
      </c>
      <c r="O28" s="14">
        <v>2</v>
      </c>
      <c r="P28" s="14">
        <v>3.1111111111111098</v>
      </c>
      <c r="Q28" s="14">
        <v>0</v>
      </c>
      <c r="R28" s="5">
        <f t="shared" si="0"/>
        <v>0</v>
      </c>
    </row>
    <row r="29" spans="1:18">
      <c r="A29" s="14" t="s">
        <v>41</v>
      </c>
      <c r="B29" s="14" t="s">
        <v>42</v>
      </c>
      <c r="C29" s="14"/>
      <c r="D29" s="14" t="s">
        <v>46</v>
      </c>
      <c r="E29" s="18" t="s">
        <v>157</v>
      </c>
      <c r="F29" s="14">
        <v>2</v>
      </c>
      <c r="G29" s="14">
        <v>5</v>
      </c>
      <c r="H29" s="14">
        <v>5</v>
      </c>
      <c r="I29" s="14">
        <v>5</v>
      </c>
      <c r="J29" s="14">
        <v>3</v>
      </c>
      <c r="K29" s="14">
        <v>4</v>
      </c>
      <c r="L29" s="14">
        <v>4</v>
      </c>
      <c r="M29" s="14">
        <v>3</v>
      </c>
      <c r="N29" s="14">
        <v>4</v>
      </c>
      <c r="O29" s="14">
        <v>5</v>
      </c>
      <c r="P29" s="14">
        <v>4.2222222222222197</v>
      </c>
      <c r="Q29" s="14">
        <v>1</v>
      </c>
      <c r="R29" s="7">
        <f t="shared" si="0"/>
        <v>1</v>
      </c>
    </row>
    <row r="30" spans="1:18">
      <c r="A30" s="2" t="s">
        <v>47</v>
      </c>
      <c r="B30" s="2" t="s">
        <v>48</v>
      </c>
      <c r="C30" s="2" t="s">
        <v>158</v>
      </c>
      <c r="D30" s="2" t="s">
        <v>49</v>
      </c>
      <c r="E30" s="19" t="s">
        <v>159</v>
      </c>
      <c r="F30" s="12">
        <v>0</v>
      </c>
      <c r="G30" s="2">
        <v>1</v>
      </c>
      <c r="H30" s="2">
        <v>2</v>
      </c>
      <c r="I30" s="2">
        <v>2</v>
      </c>
      <c r="J30" s="2">
        <v>1</v>
      </c>
      <c r="K30" s="2">
        <v>1</v>
      </c>
      <c r="L30" s="2">
        <v>2</v>
      </c>
      <c r="M30" s="2">
        <v>2</v>
      </c>
      <c r="N30" s="2">
        <v>1</v>
      </c>
      <c r="O30" s="2">
        <v>1</v>
      </c>
      <c r="P30" s="13">
        <v>1.44444444444444</v>
      </c>
      <c r="Q30" s="2">
        <v>0</v>
      </c>
      <c r="R30" s="3">
        <f t="shared" si="0"/>
        <v>0</v>
      </c>
    </row>
    <row r="31" spans="1:18">
      <c r="A31" s="2" t="s">
        <v>47</v>
      </c>
      <c r="B31" s="2" t="s">
        <v>48</v>
      </c>
      <c r="C31" s="2" t="s">
        <v>158</v>
      </c>
      <c r="D31" s="2" t="s">
        <v>50</v>
      </c>
      <c r="E31" s="19" t="s">
        <v>160</v>
      </c>
      <c r="F31" s="12">
        <v>1</v>
      </c>
      <c r="G31" s="2">
        <v>1</v>
      </c>
      <c r="H31" s="2">
        <v>3</v>
      </c>
      <c r="I31" s="2">
        <v>1</v>
      </c>
      <c r="J31" s="2">
        <v>1</v>
      </c>
      <c r="K31" s="2">
        <v>1</v>
      </c>
      <c r="L31" s="2">
        <v>2</v>
      </c>
      <c r="M31" s="2">
        <v>4</v>
      </c>
      <c r="N31" s="2">
        <v>3</v>
      </c>
      <c r="O31" s="2">
        <v>2</v>
      </c>
      <c r="P31" s="13">
        <v>2</v>
      </c>
      <c r="Q31" s="2">
        <v>1</v>
      </c>
      <c r="R31" s="8">
        <f t="shared" si="0"/>
        <v>0</v>
      </c>
    </row>
    <row r="32" spans="1:18">
      <c r="A32" s="2" t="s">
        <v>47</v>
      </c>
      <c r="B32" s="2" t="s">
        <v>48</v>
      </c>
      <c r="C32" s="2" t="s">
        <v>158</v>
      </c>
      <c r="D32" s="2" t="s">
        <v>51</v>
      </c>
      <c r="E32" s="19" t="s">
        <v>161</v>
      </c>
      <c r="F32" s="12">
        <v>2</v>
      </c>
      <c r="G32" s="2">
        <v>5</v>
      </c>
      <c r="H32" s="2">
        <v>5</v>
      </c>
      <c r="I32" s="2">
        <v>5</v>
      </c>
      <c r="J32" s="2">
        <v>5</v>
      </c>
      <c r="K32" s="2">
        <v>5</v>
      </c>
      <c r="L32" s="2">
        <v>5</v>
      </c>
      <c r="M32" s="2">
        <v>4</v>
      </c>
      <c r="N32" s="2">
        <v>5</v>
      </c>
      <c r="O32" s="2">
        <v>4</v>
      </c>
      <c r="P32" s="13">
        <v>4.7777777777777803</v>
      </c>
      <c r="Q32" s="2">
        <v>2</v>
      </c>
      <c r="R32" s="3">
        <f t="shared" si="0"/>
        <v>0</v>
      </c>
    </row>
    <row r="33" spans="1:18" ht="16">
      <c r="A33" s="2" t="s">
        <v>47</v>
      </c>
      <c r="B33" s="2" t="s">
        <v>48</v>
      </c>
      <c r="C33" s="2" t="s">
        <v>158</v>
      </c>
      <c r="D33" s="15" t="s">
        <v>52</v>
      </c>
      <c r="E33" s="20" t="s">
        <v>162</v>
      </c>
      <c r="F33" s="12">
        <v>1</v>
      </c>
      <c r="G33" s="16">
        <v>5</v>
      </c>
      <c r="H33" s="16">
        <v>4</v>
      </c>
      <c r="I33" s="16">
        <v>5</v>
      </c>
      <c r="J33" s="16">
        <v>5</v>
      </c>
      <c r="K33" s="16">
        <v>4</v>
      </c>
      <c r="L33" s="16">
        <v>5</v>
      </c>
      <c r="M33" s="16">
        <v>4</v>
      </c>
      <c r="N33" s="16">
        <v>4</v>
      </c>
      <c r="O33" s="16">
        <v>4</v>
      </c>
      <c r="P33" s="4">
        <f>AVERAGE(G33:O33)</f>
        <v>4.4444444444444446</v>
      </c>
      <c r="Q33" s="2">
        <v>1</v>
      </c>
      <c r="R33" s="3">
        <f t="shared" si="0"/>
        <v>0</v>
      </c>
    </row>
    <row r="34" spans="1:18">
      <c r="A34" s="14" t="s">
        <v>53</v>
      </c>
      <c r="B34" s="14" t="s">
        <v>54</v>
      </c>
      <c r="C34" s="14" t="s">
        <v>163</v>
      </c>
      <c r="D34" s="14" t="s">
        <v>55</v>
      </c>
      <c r="E34" s="18" t="s">
        <v>164</v>
      </c>
      <c r="F34" s="14">
        <v>1</v>
      </c>
      <c r="G34" s="14">
        <v>5</v>
      </c>
      <c r="H34" s="14">
        <v>5</v>
      </c>
      <c r="I34" s="14">
        <v>4</v>
      </c>
      <c r="J34" s="14">
        <v>2</v>
      </c>
      <c r="K34" s="14">
        <v>5</v>
      </c>
      <c r="L34" s="14">
        <v>5</v>
      </c>
      <c r="M34" s="14">
        <v>4</v>
      </c>
      <c r="N34" s="14">
        <v>4</v>
      </c>
      <c r="O34" s="14">
        <v>2</v>
      </c>
      <c r="P34" s="14">
        <v>4</v>
      </c>
      <c r="Q34" s="14">
        <v>1</v>
      </c>
      <c r="R34" s="5">
        <f t="shared" si="0"/>
        <v>0</v>
      </c>
    </row>
    <row r="35" spans="1:18">
      <c r="A35" s="14" t="s">
        <v>53</v>
      </c>
      <c r="B35" s="14" t="s">
        <v>54</v>
      </c>
      <c r="C35" s="14" t="s">
        <v>163</v>
      </c>
      <c r="D35" s="14" t="s">
        <v>56</v>
      </c>
      <c r="E35" s="18" t="s">
        <v>165</v>
      </c>
      <c r="F35" s="14">
        <v>1</v>
      </c>
      <c r="G35" s="14">
        <v>5</v>
      </c>
      <c r="H35" s="14">
        <v>5</v>
      </c>
      <c r="I35" s="14">
        <v>3</v>
      </c>
      <c r="J35" s="14">
        <v>3</v>
      </c>
      <c r="K35" s="14">
        <v>5</v>
      </c>
      <c r="L35" s="14">
        <v>5</v>
      </c>
      <c r="M35" s="14">
        <v>4</v>
      </c>
      <c r="N35" s="14">
        <v>3</v>
      </c>
      <c r="O35" s="14">
        <v>5</v>
      </c>
      <c r="P35" s="14">
        <v>4.2222222222222197</v>
      </c>
      <c r="Q35" s="14">
        <v>1</v>
      </c>
      <c r="R35" s="5">
        <f t="shared" si="0"/>
        <v>0</v>
      </c>
    </row>
    <row r="36" spans="1:18">
      <c r="A36" s="14" t="s">
        <v>53</v>
      </c>
      <c r="B36" s="14" t="s">
        <v>54</v>
      </c>
      <c r="C36" s="14" t="s">
        <v>163</v>
      </c>
      <c r="D36" s="14" t="s">
        <v>57</v>
      </c>
      <c r="E36" s="18" t="s">
        <v>166</v>
      </c>
      <c r="F36" s="14">
        <v>0</v>
      </c>
      <c r="G36" s="14">
        <v>1</v>
      </c>
      <c r="H36" s="14">
        <v>3</v>
      </c>
      <c r="I36" s="14">
        <v>2</v>
      </c>
      <c r="J36" s="14">
        <v>1</v>
      </c>
      <c r="K36" s="14">
        <v>1</v>
      </c>
      <c r="L36" s="14">
        <v>2</v>
      </c>
      <c r="M36" s="14">
        <v>2</v>
      </c>
      <c r="N36" s="14">
        <v>2</v>
      </c>
      <c r="O36" s="14">
        <v>1</v>
      </c>
      <c r="P36" s="14">
        <v>1.6666666666666701</v>
      </c>
      <c r="Q36" s="14">
        <v>0</v>
      </c>
      <c r="R36" s="5">
        <f t="shared" ref="R36:R73" si="1">F36-Q36</f>
        <v>0</v>
      </c>
    </row>
    <row r="37" spans="1:18">
      <c r="A37" s="14" t="s">
        <v>53</v>
      </c>
      <c r="B37" s="14" t="s">
        <v>54</v>
      </c>
      <c r="C37" s="14" t="s">
        <v>163</v>
      </c>
      <c r="D37" s="14" t="s">
        <v>58</v>
      </c>
      <c r="E37" s="18" t="s">
        <v>167</v>
      </c>
      <c r="F37" s="14">
        <v>2</v>
      </c>
      <c r="G37" s="14">
        <v>5</v>
      </c>
      <c r="H37" s="14">
        <v>5</v>
      </c>
      <c r="I37" s="14">
        <v>5</v>
      </c>
      <c r="J37" s="14">
        <v>5</v>
      </c>
      <c r="K37" s="14">
        <v>5</v>
      </c>
      <c r="L37" s="14">
        <v>5</v>
      </c>
      <c r="M37" s="14">
        <v>4</v>
      </c>
      <c r="N37" s="14">
        <v>5</v>
      </c>
      <c r="O37" s="14">
        <v>4</v>
      </c>
      <c r="P37" s="14">
        <v>4.7777777777777803</v>
      </c>
      <c r="Q37" s="14">
        <v>2</v>
      </c>
      <c r="R37" s="5">
        <f t="shared" si="1"/>
        <v>0</v>
      </c>
    </row>
    <row r="38" spans="1:18">
      <c r="A38" s="2" t="s">
        <v>59</v>
      </c>
      <c r="B38" s="2" t="s">
        <v>168</v>
      </c>
      <c r="C38" s="2" t="s">
        <v>169</v>
      </c>
      <c r="D38" s="2" t="s">
        <v>60</v>
      </c>
      <c r="E38" s="19" t="s">
        <v>170</v>
      </c>
      <c r="F38" s="12">
        <v>2</v>
      </c>
      <c r="G38" s="2">
        <v>5</v>
      </c>
      <c r="H38" s="2">
        <v>4</v>
      </c>
      <c r="I38" s="2">
        <v>5</v>
      </c>
      <c r="J38" s="2">
        <v>5</v>
      </c>
      <c r="K38" s="2">
        <v>4</v>
      </c>
      <c r="L38" s="2">
        <v>5</v>
      </c>
      <c r="M38" s="2">
        <v>4</v>
      </c>
      <c r="N38" s="2">
        <v>4</v>
      </c>
      <c r="O38" s="2">
        <v>5</v>
      </c>
      <c r="P38" s="13">
        <v>4.5555555555555598</v>
      </c>
      <c r="Q38" s="2">
        <v>2</v>
      </c>
      <c r="R38" s="3">
        <f t="shared" si="1"/>
        <v>0</v>
      </c>
    </row>
    <row r="39" spans="1:18">
      <c r="A39" s="2" t="s">
        <v>59</v>
      </c>
      <c r="B39" s="2" t="s">
        <v>168</v>
      </c>
      <c r="C39" s="2" t="s">
        <v>169</v>
      </c>
      <c r="D39" s="2" t="s">
        <v>61</v>
      </c>
      <c r="E39" s="19" t="s">
        <v>171</v>
      </c>
      <c r="F39" s="12">
        <v>1</v>
      </c>
      <c r="G39" s="2">
        <v>5</v>
      </c>
      <c r="H39" s="2">
        <v>4</v>
      </c>
      <c r="I39" s="2">
        <v>4</v>
      </c>
      <c r="J39" s="2">
        <v>5</v>
      </c>
      <c r="K39" s="2">
        <v>4</v>
      </c>
      <c r="L39" s="2">
        <v>3</v>
      </c>
      <c r="M39" s="2">
        <v>3</v>
      </c>
      <c r="N39" s="2">
        <v>5</v>
      </c>
      <c r="O39" s="2">
        <v>5</v>
      </c>
      <c r="P39" s="13">
        <v>4.2222222222222197</v>
      </c>
      <c r="Q39" s="2">
        <v>1</v>
      </c>
      <c r="R39" s="3">
        <f t="shared" si="1"/>
        <v>0</v>
      </c>
    </row>
    <row r="40" spans="1:18">
      <c r="A40" s="2" t="s">
        <v>59</v>
      </c>
      <c r="B40" s="2" t="s">
        <v>168</v>
      </c>
      <c r="C40" s="2" t="s">
        <v>169</v>
      </c>
      <c r="D40" s="2" t="s">
        <v>62</v>
      </c>
      <c r="E40" s="19" t="s">
        <v>172</v>
      </c>
      <c r="F40" s="12">
        <v>0</v>
      </c>
      <c r="G40" s="2">
        <v>1</v>
      </c>
      <c r="H40" s="2">
        <v>2</v>
      </c>
      <c r="I40" s="2">
        <v>1</v>
      </c>
      <c r="J40" s="2">
        <v>1</v>
      </c>
      <c r="K40" s="2">
        <v>1</v>
      </c>
      <c r="L40" s="2">
        <v>2</v>
      </c>
      <c r="M40" s="2">
        <v>2</v>
      </c>
      <c r="N40" s="2">
        <v>2</v>
      </c>
      <c r="O40" s="2">
        <v>1</v>
      </c>
      <c r="P40" s="13">
        <v>1.44444444444444</v>
      </c>
      <c r="Q40" s="2">
        <v>0</v>
      </c>
      <c r="R40" s="3">
        <f t="shared" si="1"/>
        <v>0</v>
      </c>
    </row>
    <row r="41" spans="1:18">
      <c r="A41" s="2" t="s">
        <v>59</v>
      </c>
      <c r="B41" s="2" t="s">
        <v>168</v>
      </c>
      <c r="C41" s="2" t="s">
        <v>169</v>
      </c>
      <c r="D41" s="2" t="s">
        <v>63</v>
      </c>
      <c r="E41" s="19" t="s">
        <v>173</v>
      </c>
      <c r="F41" s="12">
        <v>1</v>
      </c>
      <c r="G41" s="2">
        <v>5</v>
      </c>
      <c r="H41" s="2">
        <v>4</v>
      </c>
      <c r="I41" s="2">
        <v>5</v>
      </c>
      <c r="J41" s="2">
        <v>3</v>
      </c>
      <c r="K41" s="2">
        <v>5</v>
      </c>
      <c r="L41" s="2">
        <v>5</v>
      </c>
      <c r="M41" s="2">
        <v>4</v>
      </c>
      <c r="N41" s="2">
        <v>5</v>
      </c>
      <c r="O41" s="2">
        <v>5</v>
      </c>
      <c r="P41" s="13">
        <v>4.5555555555555598</v>
      </c>
      <c r="Q41" s="2">
        <v>2</v>
      </c>
      <c r="R41" s="9">
        <f t="shared" si="1"/>
        <v>-1</v>
      </c>
    </row>
    <row r="42" spans="1:18">
      <c r="A42" s="14" t="s">
        <v>64</v>
      </c>
      <c r="B42" s="14" t="s">
        <v>65</v>
      </c>
      <c r="C42" s="14" t="s">
        <v>174</v>
      </c>
      <c r="D42" s="14" t="s">
        <v>66</v>
      </c>
      <c r="E42" s="18" t="s">
        <v>175</v>
      </c>
      <c r="F42" s="14">
        <v>1</v>
      </c>
      <c r="G42" s="14">
        <v>5</v>
      </c>
      <c r="H42" s="14">
        <v>5</v>
      </c>
      <c r="I42" s="14">
        <v>5</v>
      </c>
      <c r="J42" s="14">
        <v>5</v>
      </c>
      <c r="K42" s="14">
        <v>5</v>
      </c>
      <c r="L42" s="14">
        <v>5</v>
      </c>
      <c r="M42" s="14">
        <v>3</v>
      </c>
      <c r="N42" s="14">
        <v>5</v>
      </c>
      <c r="O42" s="14">
        <v>5</v>
      </c>
      <c r="P42" s="14">
        <v>4.7777777777777803</v>
      </c>
      <c r="Q42" s="14">
        <v>2</v>
      </c>
      <c r="R42" s="6">
        <f t="shared" si="1"/>
        <v>-1</v>
      </c>
    </row>
    <row r="43" spans="1:18">
      <c r="A43" s="14" t="s">
        <v>64</v>
      </c>
      <c r="B43" s="14" t="s">
        <v>65</v>
      </c>
      <c r="C43" s="14" t="s">
        <v>174</v>
      </c>
      <c r="D43" s="14" t="s">
        <v>67</v>
      </c>
      <c r="E43" s="18" t="s">
        <v>176</v>
      </c>
      <c r="F43" s="14">
        <v>1</v>
      </c>
      <c r="G43" s="14">
        <v>5</v>
      </c>
      <c r="H43" s="14">
        <v>5</v>
      </c>
      <c r="I43" s="14">
        <v>5</v>
      </c>
      <c r="J43" s="14">
        <v>5</v>
      </c>
      <c r="K43" s="14">
        <v>5</v>
      </c>
      <c r="L43" s="14">
        <v>4</v>
      </c>
      <c r="M43" s="14">
        <v>3</v>
      </c>
      <c r="N43" s="14">
        <v>4</v>
      </c>
      <c r="O43" s="14">
        <v>5</v>
      </c>
      <c r="P43" s="14">
        <v>4.5555555555555598</v>
      </c>
      <c r="Q43" s="14">
        <v>1</v>
      </c>
      <c r="R43" s="5">
        <f t="shared" si="1"/>
        <v>0</v>
      </c>
    </row>
    <row r="44" spans="1:18">
      <c r="A44" s="14" t="s">
        <v>64</v>
      </c>
      <c r="B44" s="14" t="s">
        <v>65</v>
      </c>
      <c r="C44" s="14" t="s">
        <v>174</v>
      </c>
      <c r="D44" s="14" t="s">
        <v>68</v>
      </c>
      <c r="E44" s="18" t="s">
        <v>177</v>
      </c>
      <c r="F44" s="14">
        <v>0</v>
      </c>
      <c r="G44" s="14">
        <v>1</v>
      </c>
      <c r="H44" s="14">
        <v>2</v>
      </c>
      <c r="I44" s="14">
        <v>1</v>
      </c>
      <c r="J44" s="14">
        <v>2</v>
      </c>
      <c r="K44" s="14">
        <v>1</v>
      </c>
      <c r="L44" s="14">
        <v>3</v>
      </c>
      <c r="M44" s="14">
        <v>2</v>
      </c>
      <c r="N44" s="14">
        <v>2</v>
      </c>
      <c r="O44" s="14">
        <v>1</v>
      </c>
      <c r="P44" s="14">
        <v>1.6666666666666701</v>
      </c>
      <c r="Q44" s="14">
        <v>0</v>
      </c>
      <c r="R44" s="5">
        <f t="shared" si="1"/>
        <v>0</v>
      </c>
    </row>
    <row r="45" spans="1:18">
      <c r="A45" s="14" t="s">
        <v>64</v>
      </c>
      <c r="B45" s="14" t="s">
        <v>65</v>
      </c>
      <c r="C45" s="14" t="s">
        <v>174</v>
      </c>
      <c r="D45" s="14" t="s">
        <v>69</v>
      </c>
      <c r="E45" s="18" t="s">
        <v>178</v>
      </c>
      <c r="F45" s="14">
        <v>2</v>
      </c>
      <c r="G45" s="14">
        <v>5</v>
      </c>
      <c r="H45" s="14">
        <v>5</v>
      </c>
      <c r="I45" s="14">
        <v>5</v>
      </c>
      <c r="J45" s="14">
        <v>5</v>
      </c>
      <c r="K45" s="14">
        <v>4</v>
      </c>
      <c r="L45" s="14">
        <v>5</v>
      </c>
      <c r="M45" s="14">
        <v>4</v>
      </c>
      <c r="N45" s="14">
        <v>4</v>
      </c>
      <c r="O45" s="14">
        <v>4</v>
      </c>
      <c r="P45" s="14">
        <v>4.5555555555555598</v>
      </c>
      <c r="Q45" s="14">
        <v>1</v>
      </c>
      <c r="R45" s="7">
        <f t="shared" si="1"/>
        <v>1</v>
      </c>
    </row>
    <row r="46" spans="1:18">
      <c r="A46" s="2" t="s">
        <v>70</v>
      </c>
      <c r="B46" s="2" t="s">
        <v>71</v>
      </c>
      <c r="C46" s="2" t="s">
        <v>179</v>
      </c>
      <c r="D46" s="2" t="s">
        <v>72</v>
      </c>
      <c r="E46" s="19" t="s">
        <v>180</v>
      </c>
      <c r="F46" s="12">
        <v>2</v>
      </c>
      <c r="G46" s="2">
        <v>5</v>
      </c>
      <c r="H46" s="2">
        <v>5</v>
      </c>
      <c r="I46" s="2">
        <v>5</v>
      </c>
      <c r="J46" s="2">
        <v>5</v>
      </c>
      <c r="K46" s="2">
        <v>5</v>
      </c>
      <c r="L46" s="2">
        <v>5</v>
      </c>
      <c r="M46" s="2">
        <v>4</v>
      </c>
      <c r="N46" s="2">
        <v>4</v>
      </c>
      <c r="O46" s="2">
        <v>5</v>
      </c>
      <c r="P46" s="13">
        <v>4.7777777777777803</v>
      </c>
      <c r="Q46" s="2">
        <v>2</v>
      </c>
      <c r="R46" s="3">
        <f t="shared" si="1"/>
        <v>0</v>
      </c>
    </row>
    <row r="47" spans="1:18">
      <c r="A47" s="2" t="s">
        <v>70</v>
      </c>
      <c r="B47" s="2" t="s">
        <v>71</v>
      </c>
      <c r="C47" s="2" t="s">
        <v>179</v>
      </c>
      <c r="D47" s="2" t="s">
        <v>73</v>
      </c>
      <c r="E47" s="19" t="s">
        <v>181</v>
      </c>
      <c r="F47" s="12">
        <v>1</v>
      </c>
      <c r="G47" s="2">
        <v>5</v>
      </c>
      <c r="H47" s="2">
        <v>5</v>
      </c>
      <c r="I47" s="2">
        <v>5</v>
      </c>
      <c r="J47" s="2">
        <v>4</v>
      </c>
      <c r="K47" s="2">
        <v>5</v>
      </c>
      <c r="L47" s="2">
        <v>3</v>
      </c>
      <c r="M47" s="2">
        <v>4</v>
      </c>
      <c r="N47" s="2">
        <v>4</v>
      </c>
      <c r="O47" s="2">
        <v>5</v>
      </c>
      <c r="P47" s="13">
        <v>4.4444444444444402</v>
      </c>
      <c r="Q47" s="2">
        <v>1</v>
      </c>
      <c r="R47" s="3">
        <f t="shared" si="1"/>
        <v>0</v>
      </c>
    </row>
    <row r="48" spans="1:18">
      <c r="A48" s="2" t="s">
        <v>70</v>
      </c>
      <c r="B48" s="2" t="s">
        <v>71</v>
      </c>
      <c r="C48" s="2" t="s">
        <v>179</v>
      </c>
      <c r="D48" s="2" t="s">
        <v>74</v>
      </c>
      <c r="E48" s="19" t="s">
        <v>182</v>
      </c>
      <c r="F48" s="12">
        <v>0</v>
      </c>
      <c r="G48" s="2">
        <v>5</v>
      </c>
      <c r="H48" s="2">
        <v>5</v>
      </c>
      <c r="I48" s="2">
        <v>2</v>
      </c>
      <c r="J48" s="2">
        <v>3</v>
      </c>
      <c r="K48" s="2">
        <v>4</v>
      </c>
      <c r="L48" s="2">
        <v>3</v>
      </c>
      <c r="M48" s="2">
        <v>3</v>
      </c>
      <c r="N48" s="2">
        <v>2</v>
      </c>
      <c r="O48" s="2">
        <v>1</v>
      </c>
      <c r="P48" s="13">
        <v>3.1111111111111098</v>
      </c>
      <c r="Q48" s="2">
        <v>1</v>
      </c>
      <c r="R48" s="9">
        <f t="shared" si="1"/>
        <v>-1</v>
      </c>
    </row>
    <row r="49" spans="1:18">
      <c r="A49" s="2" t="s">
        <v>70</v>
      </c>
      <c r="B49" s="2" t="s">
        <v>71</v>
      </c>
      <c r="C49" s="2" t="s">
        <v>179</v>
      </c>
      <c r="D49" s="2" t="s">
        <v>75</v>
      </c>
      <c r="E49" s="19" t="s">
        <v>183</v>
      </c>
      <c r="F49" s="12">
        <v>1</v>
      </c>
      <c r="G49" s="2">
        <v>3</v>
      </c>
      <c r="H49" s="2">
        <v>5</v>
      </c>
      <c r="I49" s="2">
        <v>1</v>
      </c>
      <c r="J49" s="2">
        <v>2</v>
      </c>
      <c r="K49" s="2">
        <v>3</v>
      </c>
      <c r="L49" s="2">
        <v>2</v>
      </c>
      <c r="M49" s="2">
        <v>2</v>
      </c>
      <c r="N49" s="2">
        <v>3</v>
      </c>
      <c r="O49" s="2">
        <v>4</v>
      </c>
      <c r="P49" s="13">
        <v>2.7777777777777799</v>
      </c>
      <c r="Q49" s="2">
        <v>0</v>
      </c>
      <c r="R49" s="10">
        <f t="shared" si="1"/>
        <v>1</v>
      </c>
    </row>
    <row r="50" spans="1:18">
      <c r="A50" s="14" t="s">
        <v>76</v>
      </c>
      <c r="B50" s="14" t="s">
        <v>185</v>
      </c>
      <c r="C50" s="14" t="s">
        <v>184</v>
      </c>
      <c r="D50" s="14" t="s">
        <v>77</v>
      </c>
      <c r="E50" s="18" t="s">
        <v>186</v>
      </c>
      <c r="F50" s="14">
        <v>1</v>
      </c>
      <c r="G50" s="14">
        <v>5</v>
      </c>
      <c r="H50" s="14">
        <v>3</v>
      </c>
      <c r="I50" s="14">
        <v>5</v>
      </c>
      <c r="J50" s="14">
        <v>3</v>
      </c>
      <c r="K50" s="14">
        <v>1</v>
      </c>
      <c r="L50" s="14">
        <v>3</v>
      </c>
      <c r="M50" s="14">
        <v>1</v>
      </c>
      <c r="N50" s="14">
        <v>3</v>
      </c>
      <c r="O50" s="14">
        <v>2</v>
      </c>
      <c r="P50" s="14">
        <v>2.8888888888888902</v>
      </c>
      <c r="Q50" s="14">
        <v>1</v>
      </c>
      <c r="R50" s="11">
        <f t="shared" si="1"/>
        <v>0</v>
      </c>
    </row>
    <row r="51" spans="1:18">
      <c r="A51" s="14" t="s">
        <v>76</v>
      </c>
      <c r="B51" s="14" t="s">
        <v>185</v>
      </c>
      <c r="C51" s="14" t="s">
        <v>184</v>
      </c>
      <c r="D51" s="14" t="s">
        <v>78</v>
      </c>
      <c r="E51" s="18" t="s">
        <v>187</v>
      </c>
      <c r="F51" s="14">
        <v>2</v>
      </c>
      <c r="G51" s="14">
        <v>5</v>
      </c>
      <c r="H51" s="14">
        <v>5</v>
      </c>
      <c r="I51" s="14">
        <v>5</v>
      </c>
      <c r="J51" s="14">
        <v>5</v>
      </c>
      <c r="K51" s="14">
        <v>5</v>
      </c>
      <c r="L51" s="14">
        <v>5</v>
      </c>
      <c r="M51" s="14">
        <v>4</v>
      </c>
      <c r="N51" s="14">
        <v>4</v>
      </c>
      <c r="O51" s="14">
        <v>5</v>
      </c>
      <c r="P51" s="14">
        <v>4.7777777777777803</v>
      </c>
      <c r="Q51" s="14">
        <v>1</v>
      </c>
      <c r="R51" s="7">
        <f t="shared" si="1"/>
        <v>1</v>
      </c>
    </row>
    <row r="52" spans="1:18">
      <c r="A52" s="14" t="s">
        <v>76</v>
      </c>
      <c r="B52" s="14" t="s">
        <v>185</v>
      </c>
      <c r="C52" s="14" t="s">
        <v>184</v>
      </c>
      <c r="D52" s="14" t="s">
        <v>79</v>
      </c>
      <c r="E52" s="18" t="s">
        <v>188</v>
      </c>
      <c r="F52" s="14">
        <v>0</v>
      </c>
      <c r="G52" s="14">
        <v>3</v>
      </c>
      <c r="H52" s="14">
        <v>2</v>
      </c>
      <c r="I52" s="14">
        <v>3</v>
      </c>
      <c r="J52" s="14">
        <v>2</v>
      </c>
      <c r="K52" s="14">
        <v>3</v>
      </c>
      <c r="L52" s="14">
        <v>3</v>
      </c>
      <c r="M52" s="14">
        <v>2</v>
      </c>
      <c r="N52" s="14">
        <v>2</v>
      </c>
      <c r="O52" s="14">
        <v>4</v>
      </c>
      <c r="P52" s="14">
        <v>2.6666666666666701</v>
      </c>
      <c r="Q52" s="14">
        <v>0</v>
      </c>
      <c r="R52" s="5">
        <f t="shared" si="1"/>
        <v>0</v>
      </c>
    </row>
    <row r="53" spans="1:18">
      <c r="A53" s="14" t="s">
        <v>76</v>
      </c>
      <c r="B53" s="14" t="s">
        <v>185</v>
      </c>
      <c r="C53" s="14" t="s">
        <v>184</v>
      </c>
      <c r="D53" s="14" t="s">
        <v>80</v>
      </c>
      <c r="E53" s="18" t="s">
        <v>189</v>
      </c>
      <c r="F53" s="14">
        <v>1</v>
      </c>
      <c r="G53" s="14">
        <v>5</v>
      </c>
      <c r="H53" s="14">
        <v>5</v>
      </c>
      <c r="I53" s="14">
        <v>5</v>
      </c>
      <c r="J53" s="14">
        <v>5</v>
      </c>
      <c r="K53" s="14">
        <v>5</v>
      </c>
      <c r="L53" s="14">
        <v>5</v>
      </c>
      <c r="M53" s="14">
        <v>4</v>
      </c>
      <c r="N53" s="14">
        <v>5</v>
      </c>
      <c r="O53" s="14">
        <v>5</v>
      </c>
      <c r="P53" s="14">
        <v>4.8888888888888902</v>
      </c>
      <c r="Q53" s="14">
        <v>2</v>
      </c>
      <c r="R53" s="6">
        <f t="shared" si="1"/>
        <v>-1</v>
      </c>
    </row>
    <row r="54" spans="1:18">
      <c r="A54" s="2" t="s">
        <v>81</v>
      </c>
      <c r="B54" s="2" t="s">
        <v>190</v>
      </c>
      <c r="C54" s="2" t="s">
        <v>191</v>
      </c>
      <c r="D54" s="2" t="s">
        <v>82</v>
      </c>
      <c r="E54" s="19" t="s">
        <v>192</v>
      </c>
      <c r="F54" s="12">
        <v>2</v>
      </c>
      <c r="G54" s="2">
        <v>5</v>
      </c>
      <c r="H54" s="2">
        <v>4</v>
      </c>
      <c r="I54" s="2">
        <v>5</v>
      </c>
      <c r="J54" s="2">
        <v>5</v>
      </c>
      <c r="K54" s="2">
        <v>5</v>
      </c>
      <c r="L54" s="2">
        <v>5</v>
      </c>
      <c r="M54" s="2">
        <v>4</v>
      </c>
      <c r="N54" s="2">
        <v>4</v>
      </c>
      <c r="O54" s="2">
        <v>5</v>
      </c>
      <c r="P54" s="13">
        <v>4.6666666666666696</v>
      </c>
      <c r="Q54" s="2">
        <v>2</v>
      </c>
      <c r="R54" s="8">
        <f t="shared" si="1"/>
        <v>0</v>
      </c>
    </row>
    <row r="55" spans="1:18">
      <c r="A55" s="2" t="s">
        <v>81</v>
      </c>
      <c r="B55" s="2" t="s">
        <v>190</v>
      </c>
      <c r="C55" s="2" t="s">
        <v>191</v>
      </c>
      <c r="D55" s="2" t="s">
        <v>83</v>
      </c>
      <c r="E55" s="19" t="s">
        <v>193</v>
      </c>
      <c r="F55" s="12">
        <v>1</v>
      </c>
      <c r="G55" s="2">
        <v>5</v>
      </c>
      <c r="H55" s="2">
        <v>4</v>
      </c>
      <c r="I55" s="2">
        <v>5</v>
      </c>
      <c r="J55" s="2">
        <v>2</v>
      </c>
      <c r="K55" s="2">
        <v>5</v>
      </c>
      <c r="L55" s="2">
        <v>5</v>
      </c>
      <c r="M55" s="2">
        <v>3</v>
      </c>
      <c r="N55" s="2">
        <v>3</v>
      </c>
      <c r="O55" s="2">
        <v>4</v>
      </c>
      <c r="P55" s="13">
        <v>4</v>
      </c>
      <c r="Q55" s="2">
        <v>1</v>
      </c>
      <c r="R55" s="8">
        <f t="shared" si="1"/>
        <v>0</v>
      </c>
    </row>
    <row r="56" spans="1:18">
      <c r="A56" s="2" t="s">
        <v>81</v>
      </c>
      <c r="B56" s="2" t="s">
        <v>190</v>
      </c>
      <c r="C56" s="2" t="s">
        <v>191</v>
      </c>
      <c r="D56" s="2" t="s">
        <v>84</v>
      </c>
      <c r="E56" s="19" t="s">
        <v>194</v>
      </c>
      <c r="F56" s="12">
        <v>0</v>
      </c>
      <c r="G56" s="2">
        <v>5</v>
      </c>
      <c r="H56" s="2">
        <v>2</v>
      </c>
      <c r="I56" s="2">
        <v>2</v>
      </c>
      <c r="J56" s="2">
        <v>1</v>
      </c>
      <c r="K56" s="2">
        <v>3</v>
      </c>
      <c r="L56" s="2">
        <v>2</v>
      </c>
      <c r="M56" s="2">
        <v>2</v>
      </c>
      <c r="N56" s="2">
        <v>2</v>
      </c>
      <c r="O56" s="2">
        <v>1</v>
      </c>
      <c r="P56" s="13">
        <v>2.2222222222222201</v>
      </c>
      <c r="Q56" s="2">
        <v>0</v>
      </c>
      <c r="R56" s="8">
        <f t="shared" si="1"/>
        <v>0</v>
      </c>
    </row>
    <row r="57" spans="1:18">
      <c r="A57" s="2" t="s">
        <v>81</v>
      </c>
      <c r="B57" s="2" t="s">
        <v>190</v>
      </c>
      <c r="C57" s="2" t="s">
        <v>191</v>
      </c>
      <c r="D57" s="2" t="s">
        <v>85</v>
      </c>
      <c r="E57" s="19" t="s">
        <v>195</v>
      </c>
      <c r="F57" s="12">
        <v>1</v>
      </c>
      <c r="G57" s="2">
        <v>5</v>
      </c>
      <c r="H57" s="2">
        <v>5</v>
      </c>
      <c r="I57" s="2">
        <v>2</v>
      </c>
      <c r="J57" s="2">
        <v>5</v>
      </c>
      <c r="K57" s="2">
        <v>5</v>
      </c>
      <c r="L57" s="2">
        <v>5</v>
      </c>
      <c r="M57" s="2">
        <v>4</v>
      </c>
      <c r="N57" s="2">
        <v>4</v>
      </c>
      <c r="O57" s="2">
        <v>5</v>
      </c>
      <c r="P57" s="13">
        <v>4.4444444444444402</v>
      </c>
      <c r="Q57" s="2">
        <v>1</v>
      </c>
      <c r="R57" s="8">
        <f t="shared" si="1"/>
        <v>0</v>
      </c>
    </row>
    <row r="58" spans="1:18">
      <c r="A58" s="14" t="s">
        <v>86</v>
      </c>
      <c r="B58" s="14" t="s">
        <v>87</v>
      </c>
      <c r="C58" s="14" t="s">
        <v>196</v>
      </c>
      <c r="D58" s="14" t="s">
        <v>88</v>
      </c>
      <c r="E58" s="18" t="s">
        <v>200</v>
      </c>
      <c r="F58" s="14">
        <v>1</v>
      </c>
      <c r="G58" s="14">
        <v>5</v>
      </c>
      <c r="H58" s="14">
        <v>4</v>
      </c>
      <c r="I58" s="14">
        <v>4</v>
      </c>
      <c r="J58" s="14">
        <v>2</v>
      </c>
      <c r="K58" s="14">
        <v>4</v>
      </c>
      <c r="L58" s="14">
        <v>5</v>
      </c>
      <c r="M58" s="14">
        <v>4</v>
      </c>
      <c r="N58" s="14">
        <v>3</v>
      </c>
      <c r="O58" s="14">
        <v>5</v>
      </c>
      <c r="P58" s="14">
        <v>4</v>
      </c>
      <c r="Q58" s="14">
        <v>1</v>
      </c>
      <c r="R58" s="11">
        <f t="shared" si="1"/>
        <v>0</v>
      </c>
    </row>
    <row r="59" spans="1:18">
      <c r="A59" s="14" t="s">
        <v>86</v>
      </c>
      <c r="B59" s="14" t="s">
        <v>87</v>
      </c>
      <c r="C59" s="14" t="s">
        <v>196</v>
      </c>
      <c r="D59" s="14" t="s">
        <v>89</v>
      </c>
      <c r="E59" s="18" t="s">
        <v>197</v>
      </c>
      <c r="F59" s="14">
        <v>1</v>
      </c>
      <c r="G59" s="14">
        <v>5</v>
      </c>
      <c r="H59" s="14">
        <v>4</v>
      </c>
      <c r="I59" s="14">
        <v>4</v>
      </c>
      <c r="J59" s="14">
        <v>5</v>
      </c>
      <c r="K59" s="14">
        <v>3</v>
      </c>
      <c r="L59" s="14">
        <v>5</v>
      </c>
      <c r="M59" s="14">
        <v>4</v>
      </c>
      <c r="N59" s="14">
        <v>3</v>
      </c>
      <c r="O59" s="14">
        <v>5</v>
      </c>
      <c r="P59" s="14">
        <v>4.2222222222222197</v>
      </c>
      <c r="Q59" s="14">
        <v>1</v>
      </c>
      <c r="R59" s="5">
        <f t="shared" si="1"/>
        <v>0</v>
      </c>
    </row>
    <row r="60" spans="1:18">
      <c r="A60" s="14" t="s">
        <v>86</v>
      </c>
      <c r="B60" s="14" t="s">
        <v>87</v>
      </c>
      <c r="C60" s="14" t="s">
        <v>196</v>
      </c>
      <c r="D60" s="14" t="s">
        <v>90</v>
      </c>
      <c r="E60" s="18" t="s">
        <v>198</v>
      </c>
      <c r="F60" s="14">
        <v>0</v>
      </c>
      <c r="G60" s="14">
        <v>5</v>
      </c>
      <c r="H60" s="14">
        <v>2</v>
      </c>
      <c r="I60" s="14">
        <v>1</v>
      </c>
      <c r="J60" s="14">
        <v>2</v>
      </c>
      <c r="K60" s="14">
        <v>3</v>
      </c>
      <c r="L60" s="14">
        <v>5</v>
      </c>
      <c r="M60" s="14">
        <v>1</v>
      </c>
      <c r="N60" s="14">
        <v>3</v>
      </c>
      <c r="O60" s="14">
        <v>2</v>
      </c>
      <c r="P60" s="14">
        <v>2.6666666666666701</v>
      </c>
      <c r="Q60" s="14">
        <v>0</v>
      </c>
      <c r="R60" s="11">
        <f t="shared" si="1"/>
        <v>0</v>
      </c>
    </row>
    <row r="61" spans="1:18">
      <c r="A61" s="14" t="s">
        <v>86</v>
      </c>
      <c r="B61" s="14" t="s">
        <v>87</v>
      </c>
      <c r="C61" s="14" t="s">
        <v>196</v>
      </c>
      <c r="D61" s="14" t="s">
        <v>91</v>
      </c>
      <c r="E61" s="18" t="s">
        <v>199</v>
      </c>
      <c r="F61" s="14">
        <v>2</v>
      </c>
      <c r="G61" s="14">
        <v>5</v>
      </c>
      <c r="H61" s="14">
        <v>4</v>
      </c>
      <c r="I61" s="14">
        <v>5</v>
      </c>
      <c r="J61" s="14">
        <v>5</v>
      </c>
      <c r="K61" s="14">
        <v>5</v>
      </c>
      <c r="L61" s="14">
        <v>5</v>
      </c>
      <c r="M61" s="14">
        <v>4</v>
      </c>
      <c r="N61" s="14">
        <v>5</v>
      </c>
      <c r="O61" s="14">
        <v>5</v>
      </c>
      <c r="P61" s="14">
        <v>4.7777777777777803</v>
      </c>
      <c r="Q61" s="14">
        <v>2</v>
      </c>
      <c r="R61" s="5">
        <f t="shared" si="1"/>
        <v>0</v>
      </c>
    </row>
    <row r="62" spans="1:18">
      <c r="A62" s="2" t="s">
        <v>92</v>
      </c>
      <c r="B62" s="2" t="s">
        <v>93</v>
      </c>
      <c r="C62" s="2" t="s">
        <v>201</v>
      </c>
      <c r="D62" s="2" t="s">
        <v>94</v>
      </c>
      <c r="E62" s="19" t="s">
        <v>202</v>
      </c>
      <c r="F62" s="12">
        <v>0</v>
      </c>
      <c r="G62" s="2">
        <v>5</v>
      </c>
      <c r="H62" s="2">
        <v>2</v>
      </c>
      <c r="I62" s="2">
        <v>1</v>
      </c>
      <c r="J62" s="2">
        <v>1</v>
      </c>
      <c r="K62" s="2">
        <v>1</v>
      </c>
      <c r="L62" s="2">
        <v>2</v>
      </c>
      <c r="M62" s="2">
        <v>1</v>
      </c>
      <c r="N62" s="2">
        <v>2</v>
      </c>
      <c r="O62" s="2">
        <v>2</v>
      </c>
      <c r="P62" s="13">
        <v>1.8888888888888899</v>
      </c>
      <c r="Q62" s="2">
        <v>0</v>
      </c>
      <c r="R62" s="3">
        <f t="shared" si="1"/>
        <v>0</v>
      </c>
    </row>
    <row r="63" spans="1:18">
      <c r="A63" s="2" t="s">
        <v>92</v>
      </c>
      <c r="B63" s="2" t="s">
        <v>93</v>
      </c>
      <c r="C63" s="2" t="s">
        <v>201</v>
      </c>
      <c r="D63" s="2" t="s">
        <v>95</v>
      </c>
      <c r="E63" s="19" t="s">
        <v>203</v>
      </c>
      <c r="F63" s="12">
        <v>1</v>
      </c>
      <c r="G63" s="2">
        <v>5</v>
      </c>
      <c r="H63" s="2">
        <v>4</v>
      </c>
      <c r="I63" s="2">
        <v>5</v>
      </c>
      <c r="J63" s="2">
        <v>5</v>
      </c>
      <c r="K63" s="2">
        <v>5</v>
      </c>
      <c r="L63" s="2">
        <v>5</v>
      </c>
      <c r="M63" s="2">
        <v>4</v>
      </c>
      <c r="N63" s="2">
        <v>5</v>
      </c>
      <c r="O63" s="2">
        <v>4</v>
      </c>
      <c r="P63" s="13">
        <v>4.6666666666666696</v>
      </c>
      <c r="Q63" s="2">
        <v>2</v>
      </c>
      <c r="R63" s="9">
        <f t="shared" si="1"/>
        <v>-1</v>
      </c>
    </row>
    <row r="64" spans="1:18">
      <c r="A64" s="2" t="s">
        <v>92</v>
      </c>
      <c r="B64" s="2" t="s">
        <v>93</v>
      </c>
      <c r="C64" s="2" t="s">
        <v>201</v>
      </c>
      <c r="D64" s="2" t="s">
        <v>96</v>
      </c>
      <c r="E64" s="19" t="s">
        <v>204</v>
      </c>
      <c r="F64" s="12">
        <v>1</v>
      </c>
      <c r="G64" s="2">
        <v>5</v>
      </c>
      <c r="H64" s="2">
        <v>5</v>
      </c>
      <c r="I64" s="2">
        <v>3</v>
      </c>
      <c r="J64" s="2">
        <v>2</v>
      </c>
      <c r="K64" s="2">
        <v>4</v>
      </c>
      <c r="L64" s="2">
        <v>3</v>
      </c>
      <c r="M64" s="2">
        <v>4</v>
      </c>
      <c r="N64" s="2">
        <v>3</v>
      </c>
      <c r="O64" s="2">
        <v>1</v>
      </c>
      <c r="P64" s="13">
        <v>3.3333333333333299</v>
      </c>
      <c r="Q64" s="2">
        <v>1</v>
      </c>
      <c r="R64" s="8">
        <f t="shared" si="1"/>
        <v>0</v>
      </c>
    </row>
    <row r="65" spans="1:18">
      <c r="A65" s="2" t="s">
        <v>92</v>
      </c>
      <c r="B65" s="2" t="s">
        <v>93</v>
      </c>
      <c r="C65" s="2" t="s">
        <v>201</v>
      </c>
      <c r="D65" s="2" t="s">
        <v>97</v>
      </c>
      <c r="E65" s="19" t="s">
        <v>205</v>
      </c>
      <c r="F65" s="12">
        <v>2</v>
      </c>
      <c r="G65" s="2">
        <v>5</v>
      </c>
      <c r="H65" s="2">
        <v>4</v>
      </c>
      <c r="I65" s="2">
        <v>5</v>
      </c>
      <c r="J65" s="2">
        <v>3</v>
      </c>
      <c r="K65" s="2">
        <v>5</v>
      </c>
      <c r="L65" s="2">
        <v>4</v>
      </c>
      <c r="M65" s="2">
        <v>4</v>
      </c>
      <c r="N65" s="2">
        <v>4</v>
      </c>
      <c r="O65" s="2">
        <v>5</v>
      </c>
      <c r="P65" s="13">
        <v>4.3333333333333304</v>
      </c>
      <c r="Q65" s="2">
        <v>1</v>
      </c>
      <c r="R65" s="10">
        <f t="shared" si="1"/>
        <v>1</v>
      </c>
    </row>
    <row r="66" spans="1:18">
      <c r="A66" s="14" t="s">
        <v>98</v>
      </c>
      <c r="B66" s="14" t="s">
        <v>99</v>
      </c>
      <c r="C66" s="14" t="s">
        <v>206</v>
      </c>
      <c r="D66" s="14" t="s">
        <v>100</v>
      </c>
      <c r="E66" s="18" t="s">
        <v>207</v>
      </c>
      <c r="F66" s="14">
        <v>0</v>
      </c>
      <c r="G66" s="14">
        <v>1</v>
      </c>
      <c r="H66" s="14">
        <v>1</v>
      </c>
      <c r="I66" s="14">
        <v>1</v>
      </c>
      <c r="J66" s="14">
        <v>1</v>
      </c>
      <c r="K66" s="14">
        <v>1</v>
      </c>
      <c r="L66" s="14">
        <v>2</v>
      </c>
      <c r="M66" s="14">
        <v>1</v>
      </c>
      <c r="N66" s="14">
        <v>2</v>
      </c>
      <c r="O66" s="14">
        <v>1</v>
      </c>
      <c r="P66" s="14">
        <v>1.2222222222222201</v>
      </c>
      <c r="Q66" s="14">
        <v>0</v>
      </c>
      <c r="R66" s="5">
        <f t="shared" si="1"/>
        <v>0</v>
      </c>
    </row>
    <row r="67" spans="1:18">
      <c r="A67" s="14" t="s">
        <v>98</v>
      </c>
      <c r="B67" s="14" t="s">
        <v>99</v>
      </c>
      <c r="C67" s="14" t="s">
        <v>206</v>
      </c>
      <c r="D67" s="14" t="s">
        <v>101</v>
      </c>
      <c r="E67" s="18" t="s">
        <v>208</v>
      </c>
      <c r="F67" s="14">
        <v>1</v>
      </c>
      <c r="G67" s="14">
        <v>3</v>
      </c>
      <c r="H67" s="14">
        <v>5</v>
      </c>
      <c r="I67" s="14">
        <v>3</v>
      </c>
      <c r="J67" s="14">
        <v>3</v>
      </c>
      <c r="K67" s="14">
        <v>4</v>
      </c>
      <c r="L67" s="14">
        <v>3</v>
      </c>
      <c r="M67" s="14">
        <v>4</v>
      </c>
      <c r="N67" s="14">
        <v>3</v>
      </c>
      <c r="O67" s="14">
        <v>5</v>
      </c>
      <c r="P67" s="14">
        <v>3.6666666666666701</v>
      </c>
      <c r="Q67" s="14">
        <v>1</v>
      </c>
      <c r="R67" s="5">
        <f t="shared" si="1"/>
        <v>0</v>
      </c>
    </row>
    <row r="68" spans="1:18">
      <c r="A68" s="14" t="s">
        <v>98</v>
      </c>
      <c r="B68" s="14" t="s">
        <v>99</v>
      </c>
      <c r="C68" s="14" t="s">
        <v>206</v>
      </c>
      <c r="D68" s="14" t="s">
        <v>102</v>
      </c>
      <c r="E68" s="18" t="s">
        <v>209</v>
      </c>
      <c r="F68" s="14">
        <v>1</v>
      </c>
      <c r="G68" s="14">
        <v>1</v>
      </c>
      <c r="H68" s="14">
        <v>2</v>
      </c>
      <c r="I68" s="14">
        <v>2</v>
      </c>
      <c r="J68" s="14">
        <v>1</v>
      </c>
      <c r="K68" s="14">
        <v>1</v>
      </c>
      <c r="L68" s="14">
        <v>3</v>
      </c>
      <c r="M68" s="14">
        <v>2</v>
      </c>
      <c r="N68" s="14">
        <v>2</v>
      </c>
      <c r="O68" s="14">
        <v>2</v>
      </c>
      <c r="P68" s="14">
        <v>1.7777777777777799</v>
      </c>
      <c r="Q68" s="14">
        <v>1</v>
      </c>
      <c r="R68" s="11">
        <f t="shared" si="1"/>
        <v>0</v>
      </c>
    </row>
    <row r="69" spans="1:18">
      <c r="A69" s="14" t="s">
        <v>98</v>
      </c>
      <c r="B69" s="14" t="s">
        <v>99</v>
      </c>
      <c r="C69" s="14" t="s">
        <v>206</v>
      </c>
      <c r="D69" s="14" t="s">
        <v>103</v>
      </c>
      <c r="E69" s="18" t="s">
        <v>210</v>
      </c>
      <c r="F69" s="14">
        <v>2</v>
      </c>
      <c r="G69" s="14">
        <v>5</v>
      </c>
      <c r="H69" s="14">
        <v>5</v>
      </c>
      <c r="I69" s="14">
        <v>5</v>
      </c>
      <c r="J69" s="14">
        <v>5</v>
      </c>
      <c r="K69" s="14">
        <v>5</v>
      </c>
      <c r="L69" s="14">
        <v>5</v>
      </c>
      <c r="M69" s="14">
        <v>4</v>
      </c>
      <c r="N69" s="14">
        <v>5</v>
      </c>
      <c r="O69" s="14">
        <v>4</v>
      </c>
      <c r="P69" s="14">
        <v>4.7777777777777803</v>
      </c>
      <c r="Q69" s="14">
        <v>2</v>
      </c>
      <c r="R69" s="5">
        <f t="shared" si="1"/>
        <v>0</v>
      </c>
    </row>
    <row r="70" spans="1:18">
      <c r="A70" s="2" t="s">
        <v>104</v>
      </c>
      <c r="B70" s="2" t="s">
        <v>105</v>
      </c>
      <c r="C70" s="2" t="s">
        <v>215</v>
      </c>
      <c r="D70" s="2" t="s">
        <v>106</v>
      </c>
      <c r="E70" s="19" t="s">
        <v>211</v>
      </c>
      <c r="F70" s="12">
        <v>1</v>
      </c>
      <c r="G70" s="2">
        <v>5</v>
      </c>
      <c r="H70" s="2">
        <v>5</v>
      </c>
      <c r="I70" s="2">
        <v>5</v>
      </c>
      <c r="J70" s="2">
        <v>5</v>
      </c>
      <c r="K70" s="2">
        <v>5</v>
      </c>
      <c r="L70" s="2">
        <v>5</v>
      </c>
      <c r="M70" s="2">
        <v>4</v>
      </c>
      <c r="N70" s="2">
        <v>5</v>
      </c>
      <c r="O70" s="2">
        <v>5</v>
      </c>
      <c r="P70" s="13">
        <v>4.8888888888888902</v>
      </c>
      <c r="Q70" s="2">
        <v>2</v>
      </c>
      <c r="R70" s="9">
        <f t="shared" si="1"/>
        <v>-1</v>
      </c>
    </row>
    <row r="71" spans="1:18">
      <c r="A71" s="2" t="s">
        <v>104</v>
      </c>
      <c r="B71" s="2" t="s">
        <v>105</v>
      </c>
      <c r="C71" s="2" t="s">
        <v>215</v>
      </c>
      <c r="D71" s="2" t="s">
        <v>107</v>
      </c>
      <c r="E71" s="19" t="s">
        <v>212</v>
      </c>
      <c r="F71" s="12">
        <v>1</v>
      </c>
      <c r="G71" s="2">
        <v>3</v>
      </c>
      <c r="H71" s="2">
        <v>3</v>
      </c>
      <c r="I71" s="2">
        <v>5</v>
      </c>
      <c r="J71" s="2">
        <v>1</v>
      </c>
      <c r="K71" s="2">
        <v>1</v>
      </c>
      <c r="L71" s="2">
        <v>3</v>
      </c>
      <c r="M71" s="2">
        <v>2</v>
      </c>
      <c r="N71" s="2">
        <v>2</v>
      </c>
      <c r="O71" s="2">
        <v>4</v>
      </c>
      <c r="P71" s="13">
        <v>2.6666666666666701</v>
      </c>
      <c r="Q71" s="2">
        <v>1</v>
      </c>
      <c r="R71" s="8">
        <f t="shared" si="1"/>
        <v>0</v>
      </c>
    </row>
    <row r="72" spans="1:18">
      <c r="A72" s="2" t="s">
        <v>104</v>
      </c>
      <c r="B72" s="2" t="s">
        <v>105</v>
      </c>
      <c r="C72" s="2" t="s">
        <v>215</v>
      </c>
      <c r="D72" s="2" t="s">
        <v>108</v>
      </c>
      <c r="E72" s="19" t="s">
        <v>213</v>
      </c>
      <c r="F72" s="12">
        <v>0</v>
      </c>
      <c r="G72" s="2">
        <v>5</v>
      </c>
      <c r="H72" s="2">
        <v>2</v>
      </c>
      <c r="I72" s="2">
        <v>1</v>
      </c>
      <c r="J72" s="2">
        <v>1</v>
      </c>
      <c r="K72" s="2">
        <v>1</v>
      </c>
      <c r="L72" s="2">
        <v>3</v>
      </c>
      <c r="M72" s="2">
        <v>1</v>
      </c>
      <c r="N72" s="2">
        <v>2</v>
      </c>
      <c r="O72" s="2">
        <v>1</v>
      </c>
      <c r="P72" s="13">
        <v>1.8888888888888899</v>
      </c>
      <c r="Q72" s="2">
        <v>0</v>
      </c>
      <c r="R72" s="3">
        <f t="shared" si="1"/>
        <v>0</v>
      </c>
    </row>
    <row r="73" spans="1:18">
      <c r="A73" s="2" t="s">
        <v>104</v>
      </c>
      <c r="B73" s="2" t="s">
        <v>105</v>
      </c>
      <c r="C73" s="2" t="s">
        <v>215</v>
      </c>
      <c r="D73" s="2" t="s">
        <v>109</v>
      </c>
      <c r="E73" s="19" t="s">
        <v>214</v>
      </c>
      <c r="F73" s="12">
        <v>2</v>
      </c>
      <c r="G73" s="2">
        <v>5</v>
      </c>
      <c r="H73" s="2">
        <v>5</v>
      </c>
      <c r="I73" s="2">
        <v>5</v>
      </c>
      <c r="J73" s="2">
        <v>5</v>
      </c>
      <c r="K73" s="2">
        <v>5</v>
      </c>
      <c r="L73" s="2">
        <v>5</v>
      </c>
      <c r="M73" s="2">
        <v>4</v>
      </c>
      <c r="N73" s="2">
        <v>5</v>
      </c>
      <c r="O73" s="2">
        <v>5</v>
      </c>
      <c r="P73" s="13">
        <v>4.8888888888888902</v>
      </c>
      <c r="Q73" s="2">
        <v>2</v>
      </c>
      <c r="R73" s="3">
        <f t="shared" si="1"/>
        <v>0</v>
      </c>
    </row>
  </sheetData>
  <phoneticPr fontId="8" type="noConversion"/>
  <pageMargins left="0.75" right="0.75" top="1" bottom="1" header="0.5" footer="0.5"/>
  <pageSetup paperSize="9" orientation="portrait" horizontalDpi="0" verticalDpi="0"/>
</worksheet>
</file>

<file path=docMetadata/LabelInfo.xml><?xml version="1.0" encoding="utf-8"?>
<clbl:labelList xmlns:clbl="http://schemas.microsoft.com/office/2020/mipLabelMetadata">
  <clbl:label id="{f42aa342-8706-4288-bd11-ebb85995028c}" enabled="1" method="Standard" siteId="{72f988bf-86f1-41af-91ab-2d7cd011db47}" contentBits="0"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adapted_options_llm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神静</dc:creator>
  <cp:lastModifiedBy>Liming</cp:lastModifiedBy>
  <dcterms:created xsi:type="dcterms:W3CDTF">2020-02-12T07:19:00Z</dcterms:created>
  <dcterms:modified xsi:type="dcterms:W3CDTF">2026-02-04T06:02:45Z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1033-6.11.0.8885</vt:lpwstr>
  </property>
  <property fmtid="{D5CDD505-2E9C-101B-9397-08002B2CF9AE}" pid="3" name="ICV">
    <vt:lpwstr>BC001821FB5677D8BAE95A66CDCF43AB_43</vt:lpwstr>
  </property>
</Properties>
</file>