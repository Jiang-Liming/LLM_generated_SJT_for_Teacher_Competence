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4"/>
  <workbookPr/>
  <mc:AlternateContent xmlns:mc="http://schemas.openxmlformats.org/markup-compatibility/2006">
    <mc:Choice Requires="x15">
      <x15ac:absPath xmlns:x15ac="http://schemas.microsoft.com/office/spreadsheetml/2010/11/ac" url="/Users/liming/Desktop/LLM&amp;SJT/teacher/final_submittion/content_validity/"/>
    </mc:Choice>
  </mc:AlternateContent>
  <xr:revisionPtr revIDLastSave="0" documentId="13_ncr:1_{4C1ABEDF-D683-CA49-B586-6719E9FD00BB}" xr6:coauthVersionLast="47" xr6:coauthVersionMax="47" xr10:uidLastSave="{00000000-0000-0000-0000-000000000000}"/>
  <bookViews>
    <workbookView xWindow="980" yWindow="500" windowWidth="27820" windowHeight="17500" xr2:uid="{00000000-000D-0000-FFFF-FFFF00000000}"/>
  </bookViews>
  <sheets>
    <sheet name="adapted_options_llm" sheetId="4" r:id="rId1"/>
  </sheets>
  <definedNames>
    <definedName name="_xlnm._FilterDatabase" localSheetId="0" hidden="1">adapted_options_llm!$R$1:$R$73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73" i="4" l="1"/>
  <c r="P73" i="4"/>
  <c r="R72" i="4"/>
  <c r="P72" i="4"/>
  <c r="R71" i="4"/>
  <c r="P71" i="4"/>
  <c r="R70" i="4"/>
  <c r="P70" i="4"/>
  <c r="R69" i="4"/>
  <c r="P69" i="4"/>
  <c r="R68" i="4"/>
  <c r="P68" i="4"/>
  <c r="R67" i="4"/>
  <c r="P67" i="4"/>
  <c r="R66" i="4"/>
  <c r="P66" i="4"/>
  <c r="R65" i="4"/>
  <c r="P65" i="4"/>
  <c r="R64" i="4"/>
  <c r="P64" i="4"/>
  <c r="R63" i="4"/>
  <c r="P63" i="4"/>
  <c r="R62" i="4"/>
  <c r="P62" i="4"/>
  <c r="R61" i="4"/>
  <c r="P61" i="4"/>
  <c r="R60" i="4"/>
  <c r="P60" i="4"/>
  <c r="R59" i="4"/>
  <c r="P59" i="4"/>
  <c r="R58" i="4"/>
  <c r="P58" i="4"/>
  <c r="R57" i="4"/>
  <c r="P57" i="4"/>
  <c r="R56" i="4"/>
  <c r="P56" i="4"/>
  <c r="R55" i="4"/>
  <c r="P55" i="4"/>
  <c r="R54" i="4"/>
  <c r="P54" i="4"/>
  <c r="R53" i="4"/>
  <c r="P53" i="4"/>
  <c r="R52" i="4"/>
  <c r="P52" i="4"/>
  <c r="R51" i="4"/>
  <c r="P51" i="4"/>
  <c r="R50" i="4"/>
  <c r="P50" i="4"/>
  <c r="R49" i="4"/>
  <c r="P49" i="4"/>
  <c r="R48" i="4"/>
  <c r="P48" i="4"/>
  <c r="R47" i="4"/>
  <c r="P47" i="4"/>
  <c r="R46" i="4"/>
  <c r="P46" i="4"/>
  <c r="R45" i="4"/>
  <c r="P45" i="4"/>
  <c r="R44" i="4"/>
  <c r="P44" i="4"/>
  <c r="R43" i="4"/>
  <c r="P43" i="4"/>
  <c r="R42" i="4"/>
  <c r="P42" i="4"/>
  <c r="R41" i="4"/>
  <c r="P41" i="4"/>
  <c r="R40" i="4"/>
  <c r="P40" i="4"/>
  <c r="R39" i="4"/>
  <c r="P39" i="4"/>
  <c r="R38" i="4"/>
  <c r="P38" i="4"/>
  <c r="R37" i="4"/>
  <c r="P37" i="4"/>
  <c r="R36" i="4"/>
  <c r="P36" i="4"/>
  <c r="R35" i="4"/>
  <c r="P35" i="4"/>
  <c r="R34" i="4"/>
  <c r="P34" i="4"/>
  <c r="R33" i="4"/>
  <c r="P33" i="4"/>
  <c r="R32" i="4"/>
  <c r="P32" i="4"/>
  <c r="R31" i="4"/>
  <c r="P31" i="4"/>
  <c r="R30" i="4"/>
  <c r="P30" i="4"/>
  <c r="R29" i="4"/>
  <c r="P29" i="4"/>
  <c r="R28" i="4"/>
  <c r="P28" i="4"/>
  <c r="R27" i="4"/>
  <c r="P27" i="4"/>
  <c r="R26" i="4"/>
  <c r="P26" i="4"/>
  <c r="R25" i="4"/>
  <c r="P25" i="4"/>
  <c r="R24" i="4"/>
  <c r="P24" i="4"/>
  <c r="R23" i="4"/>
  <c r="P23" i="4"/>
  <c r="R22" i="4"/>
  <c r="P22" i="4"/>
  <c r="R21" i="4"/>
  <c r="P21" i="4"/>
  <c r="R20" i="4"/>
  <c r="P20" i="4"/>
  <c r="R19" i="4"/>
  <c r="P19" i="4"/>
  <c r="R18" i="4"/>
  <c r="P18" i="4"/>
  <c r="R17" i="4"/>
  <c r="P17" i="4"/>
  <c r="R16" i="4"/>
  <c r="P16" i="4"/>
  <c r="R15" i="4"/>
  <c r="P15" i="4"/>
  <c r="R14" i="4"/>
  <c r="P14" i="4"/>
  <c r="R13" i="4"/>
  <c r="P13" i="4"/>
  <c r="R12" i="4"/>
  <c r="P12" i="4"/>
  <c r="R11" i="4"/>
  <c r="P11" i="4"/>
  <c r="R10" i="4"/>
  <c r="P10" i="4"/>
  <c r="R9" i="4"/>
  <c r="P9" i="4"/>
  <c r="R8" i="4"/>
  <c r="P8" i="4"/>
  <c r="R7" i="4"/>
  <c r="P7" i="4"/>
  <c r="R6" i="4"/>
  <c r="P6" i="4"/>
  <c r="R5" i="4"/>
  <c r="P5" i="4"/>
  <c r="R4" i="4"/>
  <c r="P4" i="4"/>
  <c r="R3" i="4"/>
  <c r="P3" i="4"/>
  <c r="R2" i="4"/>
  <c r="P2" i="4"/>
</calcChain>
</file>

<file path=xl/sharedStrings.xml><?xml version="1.0" encoding="utf-8"?>
<sst xmlns="http://schemas.openxmlformats.org/spreadsheetml/2006/main" count="378" uniqueCount="216">
  <si>
    <t>scenario_id</t>
  </si>
  <si>
    <t>expert</t>
  </si>
  <si>
    <t>LLM_score</t>
  </si>
  <si>
    <t>SME</t>
  </si>
  <si>
    <t>diff</t>
  </si>
  <si>
    <t>adapted_r1_1</t>
  </si>
  <si>
    <t>在一次课堂测验中，你发现有几名学生交头接耳，偷偷交流答案。其中一名学生还时不时地瞥向你的方向，显然是害怕被发现。其他学生也注意到了这一幕，但没有人出声举报。在这种情况下，你会怎么做？</t>
  </si>
  <si>
    <t>改变测验方式，由闭卷改为开卷，但要求学生独立完成。</t>
  </si>
  <si>
    <t>测验结束后，私下找那几名学生谈话，了解原因并进行教育。</t>
  </si>
  <si>
    <t>直接点名批评那几名交流答案的学生，并扣除他们的测验分数。</t>
  </si>
  <si>
    <t>走到那几名学生附近，轻轻敲敲他们的桌子作为警告。</t>
  </si>
  <si>
    <t>adapted_r1_2</t>
  </si>
  <si>
    <t>你布置了一项分组作业，要求学生们在课后自行组队完成。但随后你发现，有几个学生因为人际关系不佳被排斥在组队之外，他们显得很沮丧。其他小组已经热火朝天地开始了讨论和分工。在这种情况下，你会怎么做？</t>
  </si>
  <si>
    <t>在课后找那些排斥同学的学生谈话，强调团队合作的重要性。</t>
  </si>
  <si>
    <t>对被排斥的学生进行安慰，并鼓励他们主动找其他小组加入。</t>
  </si>
  <si>
    <t>直接指定几个学生加入那些被排斥的学生的小组。</t>
  </si>
  <si>
    <t>重新调整分组方式，确保每个学生都能参与到作业中。</t>
  </si>
  <si>
    <t>adapted_r1_3</t>
  </si>
  <si>
    <t>你正在讲解一道复杂的数学题，但发现大部分学生都显得很困惑，他们紧皱眉头，试图跟上你的思路。其中一名学生甚至直接举手说：“老师，我听不懂。”在这种情况下，你会怎么做？</t>
  </si>
  <si>
    <t>停止讲解，让学生们自己思考一会儿再继续。</t>
  </si>
  <si>
    <t>换一种更简单的解题方法，重新讲解一遍。</t>
  </si>
  <si>
    <t>继续按照原计划讲解，课后给有需要的学生单独辅导。</t>
  </si>
  <si>
    <t>让已经听懂的学生上台讲解，自己从旁指导。</t>
  </si>
  <si>
    <t>adapted_r1_4</t>
  </si>
  <si>
    <t>你注意到一名学生连续几天上课都心不在焉，成绩也明显下滑。你尝试在课堂上提问他，但他总是回答不上来。其他学生也开始注意到他的变化。在这种情况下，你会怎么做？</t>
  </si>
  <si>
    <t>在课堂上直接批评他，让他集中注意力。</t>
  </si>
  <si>
    <t>联系他的家长，反映情况并寻求合作。</t>
  </si>
  <si>
    <t>让学习好的学生帮助他，形成互助小组。</t>
  </si>
  <si>
    <t>课后找他谈话，了解他近期遇到的问题，并提供帮助。</t>
  </si>
  <si>
    <t>adapted_r1_5</t>
  </si>
  <si>
    <t>学校即将举行一场公开课，你将代表你所在的班级进行展示。但就在公开课的前一天，你突然接到通知，原定的教室因为维修无法使用，需要换到一个较小的教室。新教室的布局和设施与原教室有很大差异。在这种情况下，你会怎么做？</t>
  </si>
  <si>
    <t>向学校申请延期举行公开课，以确保准备充分。</t>
  </si>
  <si>
    <t>坚持使用原教室，认为这不会对公开课造成太大影响。</t>
  </si>
  <si>
    <t>根据新教室的布局，重新调整你的教学方案。</t>
  </si>
  <si>
    <t>简化原定的教学内容，以适应新教室的环境。</t>
  </si>
  <si>
    <t>adapted_r1_6</t>
  </si>
  <si>
    <t>你发现一名学生在作业本上抄袭了其他同学的答案。你把他叫到办公室询问情况，他承认了自己的错误，并显得非常懊悔。他表示自己是因为不会做题才选择了抄袭。在这种情况下，你会怎么做？</t>
  </si>
  <si>
    <t>严厉批评他，并扣除他的作业分数以作惩罚。</t>
  </si>
  <si>
    <t>在班级上公开此事，以警示其他同学。</t>
  </si>
  <si>
    <t>联系他的家长，共同对他进行教育。</t>
  </si>
  <si>
    <t>要求他重新独立完成作业，并给他讲解不懂的知识点。</t>
  </si>
  <si>
    <t>adapted_r2_1</t>
  </si>
  <si>
    <t>在一次班级集体活动中，你发现有几名学生独自站在一旁，没有参与到游戏中。他们看起来有些失落，而其他学生则玩得不亦乐乎。在这种情况下，你会怎么做？</t>
  </si>
  <si>
    <t>在活动结束后，私下与那几名学生沟通，了解他们的感受。</t>
  </si>
  <si>
    <t>认为他们可能不喜欢这种游戏，所以选择不参与，不予干涉。</t>
  </si>
  <si>
    <t>询问其他学生为什么那几名学生没有参与，了解情况。</t>
  </si>
  <si>
    <t>走过去邀请那几名学生加入游戏，确保他们不被孤立。</t>
  </si>
  <si>
    <t>adapted_r2_2</t>
  </si>
  <si>
    <t>你收到一位家长的邮件，反映他的孩子在你的课上受到同学的嘲笑和排挤。邮件中，家长表达了对孩子心理健康的担忧。在这种情况下，你会怎么做？</t>
  </si>
  <si>
    <t>回复邮件，邀请家长来学校面谈，详细了解情况并寻求解决方案。</t>
  </si>
  <si>
    <t>在课上公开讲述友善相处的重要性，并观察后续情况。</t>
  </si>
  <si>
    <t>私下找涉事学生谈话，提醒他们注意自己的言行。</t>
  </si>
  <si>
    <t>认为这只是学生之间的玩笑，不必太过认真。</t>
  </si>
  <si>
    <t>adapted_r2_3</t>
  </si>
  <si>
    <t>你注意到，每当课堂上有小组讨论环节时，总有几个学生特别活跃，而另一些学生则几乎不发言。这种情况已经持续了一段时间。在这种情况下，你会怎么做？</t>
  </si>
  <si>
    <t>在课后找那些不常发言的学生谈话，鼓励他们积极参与讨论。</t>
  </si>
  <si>
    <t>对那些活跃的学生提出表扬，以此激励其他学生。</t>
  </si>
  <si>
    <t>认为每个人都有自己的性格，不必强求每个人都积极参与。</t>
  </si>
  <si>
    <t>调整小组讨论的方式，确保每个学生都有机会发言。</t>
  </si>
  <si>
    <t>adapted_r2_4</t>
  </si>
  <si>
    <t>在一次课堂小测验后，你发现有几名学生的成绩远低于班级平均水平。这些学生在之前的课程中表现还算不错，但这次却出现了明显的下滑。在这种情况下，你会怎么做？</t>
  </si>
  <si>
    <t>在课后找这些学生谈话，了解他们成绩下滑的原因，并提供帮助。</t>
  </si>
  <si>
    <t>要求这些学生在下次测验前进行额外的复习和准备。</t>
  </si>
  <si>
    <t>认为这只是一次偶然的失误，不必太过担心。</t>
  </si>
  <si>
    <t>调整教学方式，确保所有学生都能跟上课程进度。</t>
  </si>
  <si>
    <t>adapted_r2_5</t>
  </si>
  <si>
    <t>你正在讲解一个复杂的科学实验，但发现学生们的注意力开始分散。有的人在窃窃私语，有的人在摆弄手中的文具。你意识到他们可能对这个实验并不感兴趣。在这种情况下，你会怎么做？</t>
  </si>
  <si>
    <t>在课后收集学生们的反馈，以便改进未来的教学方式。</t>
  </si>
  <si>
    <t>换一种更生动有趣的方式重新讲解实验，吸引学生的注意力。</t>
  </si>
  <si>
    <t>暂停讲解，问学生们是否有什么问题或疑惑。</t>
  </si>
  <si>
    <t>认为学生们的行为很正常，继续按照原计划讲解。</t>
  </si>
  <si>
    <t>adapted_r2_6</t>
  </si>
  <si>
    <t>你收到一位学生的来信，他在信中表达了对某门学科浓厚的兴趣，并询问如何能够进一步深入学习。他还提到自己在该学科上遇到了一些困难，希望得到你的指导。在这种情况下，你会怎么做？</t>
  </si>
  <si>
    <t>回信鼓励他，并提供一些学习资源和建议。</t>
  </si>
  <si>
    <t>在课堂上公开表扬他的学习热情，并以此激励其他学生。</t>
  </si>
  <si>
    <t>认为他的问题太过复杂，建议他寻求其他专家的帮助。</t>
  </si>
  <si>
    <t>邀请他到学校进行面对面的辅导和交流。</t>
  </si>
  <si>
    <t>adapted_r3_1</t>
  </si>
  <si>
    <t>你发现一名学生在课堂上经常打断你的讲解，提出与课堂内容无关的问题，导致教学进度受到影响。其他学生也开始注意到这种行为，并显得有些不耐烦。在这种情况下，你会怎么做？</t>
  </si>
  <si>
    <t>严厉制止该学生的行为，并警告他不得再打断讲解。</t>
  </si>
  <si>
    <t>无视该学生的打断，继续按照自己的教学计划进行。</t>
  </si>
  <si>
    <t>耐心与该学生沟通，了解他为何频繁打断，并引导他正确提问。</t>
  </si>
  <si>
    <t>课后与该学生私下交流，提醒他注意课堂秩序和提问时机。</t>
  </si>
  <si>
    <t>adapted_r3_2</t>
  </si>
  <si>
    <t>你注意到，在最近几次的课堂讨论中，有几个学生总是固执己见，不愿听取他人的观点，导致讨论氛围变得紧张。在这种情况下，你会怎么做？</t>
  </si>
  <si>
    <t>在课堂上强调相互尊重和倾听的重要性，引导讨论回归正轨。</t>
  </si>
  <si>
    <t>直接指定其他学生发言，以确保讨论的多样性。</t>
  </si>
  <si>
    <t>认为这是学生个性的一种体现，选择不介入讨论过程。</t>
  </si>
  <si>
    <t>课后与这几个学生单独谈话，提醒他们注意讨论的方式和态度。</t>
  </si>
  <si>
    <t>adapted_r3_3</t>
  </si>
  <si>
    <t>在一次课堂活动中，你发现所使用的教学设备突然出现故障，导致你无法按照原计划进行教学。学生们开始交头接耳，课堂秩序有些混乱。在这种情况下，你会怎么做？</t>
  </si>
  <si>
    <t>尝试自己修理设备，同时安抚学生的情绪。</t>
  </si>
  <si>
    <t>灵活调整教学内容，进行不需要该设备的课堂活动。</t>
  </si>
  <si>
    <t>立即联系技术人员维修设备，同时组织学生进行其他活动。</t>
  </si>
  <si>
    <t>认为设备故障是不可避免的，选择停课等待设备修复。</t>
  </si>
  <si>
    <t>adapted_r3_4</t>
  </si>
  <si>
    <t>你收到一位家长的反馈，称他的孩子在你的课堂上总是感到焦虑和压力，导致学习成绩下降。家长希望你能采取措施帮助孩子缓解压力。在这种情况下，你会怎么做？</t>
  </si>
  <si>
    <t>与该学生谈话，了解他感到焦虑的原因，并提供相应的支持。</t>
  </si>
  <si>
    <t>在课堂上增加一些放松和减压的活动，以帮助学生调节情绪。</t>
  </si>
  <si>
    <t>建议家长寻求专业的心理咨询帮助，以更全面地解决问题。</t>
  </si>
  <si>
    <t>认为每个学生的学习压力都很大，需要自行应对和调整。</t>
  </si>
  <si>
    <t>adapted_r3_5</t>
  </si>
  <si>
    <t>你发现，随着学期临近结束，学生们普遍表现出疲惫和松懈的态度。他们参与课堂活动的积极性明显降低，作业质量也大幅下降。在这种情况下，你会怎么做？</t>
  </si>
  <si>
    <t>与家长沟通，共同督促学生保持学习状态。</t>
  </si>
  <si>
    <t>增加课堂趣味性和互动性，以重新激发学生的学习兴趣。</t>
  </si>
  <si>
    <t>提醒学生注意学期末的重要性，鼓励他们坚持到底。</t>
  </si>
  <si>
    <t>认为学生已经尽力，选择不施加额外的压力。</t>
  </si>
  <si>
    <t>adapted_r3_6</t>
  </si>
  <si>
    <t>在一次课堂测验后，你发现有少数几个学生取得了异常高的分数，而其他学生的成绩则普遍偏低。这引发了其他学生对测验公平性的质疑。在这种情况下，你会怎么做？</t>
  </si>
  <si>
    <t>在下次测验前加强对学生复习的指导，以提高整体成绩。</t>
  </si>
  <si>
    <t>认为高分数学生只是表现突出，无需对测验进行调整。</t>
  </si>
  <si>
    <t>邀请学生代表参与测验的复核过程，增加透明度。</t>
  </si>
  <si>
    <t>重新审查测验题目和评分标准，确保公正性。</t>
  </si>
  <si>
    <t>options</t>
    <phoneticPr fontId="6" type="noConversion"/>
  </si>
  <si>
    <t>expert1</t>
    <phoneticPr fontId="6" type="noConversion"/>
  </si>
  <si>
    <t>expert2</t>
    <phoneticPr fontId="6" type="noConversion"/>
  </si>
  <si>
    <t>expert3</t>
  </si>
  <si>
    <t>expert4</t>
  </si>
  <si>
    <t>expert5</t>
  </si>
  <si>
    <t>expert6</t>
  </si>
  <si>
    <t>expert7</t>
  </si>
  <si>
    <t>expert8</t>
  </si>
  <si>
    <t>expert9</t>
  </si>
  <si>
    <t>scenario</t>
    <phoneticPr fontId="6" type="noConversion"/>
  </si>
  <si>
    <t>During a class quiz, you notice several students whispering to each other and secretly sharing answers. One of them keeps glancing nervously in your direction, clearly afraid of being caught. Other students have also noticed what's happening, but no one speaks up to report it. What would you do in this situation?</t>
    <phoneticPr fontId="6" type="noConversion"/>
  </si>
  <si>
    <t>You assigned a group task and asked students to form their own teams. However, you later discover that several students have been left out due to poor social relationships, and they appear quite upset. Meanwhile, the other groups have already enthusiastically begun their discussions and divided up the work. What would you do in this situation?</t>
  </si>
  <si>
    <t>Your school is about to hold an open class, and you'll be representing your class in the demonstration. However, the day before the open class, you suddenly receive notice that the original classroom is unavailable due to maintenance and needs to be changed to a smaller one. The layout and facilities of the new classroom are significantly different from the original. What would you do in this situation?</t>
    <phoneticPr fontId="6" type="noConversion"/>
  </si>
  <si>
    <t>During a class activity, you observe that a few students are standing alone on the sidelines, not joining in the games. They appear a bit downcast, while everyone else is having a blast. What would you do in this situation?</t>
    <phoneticPr fontId="6" type="noConversion"/>
  </si>
  <si>
    <t>You receive an email from a parent reporting that their child has been mocked and isolated by classmates in your class. In the email, the parent expresses concern about their child's mental health. What would you do in this situation?</t>
    <phoneticPr fontId="6" type="noConversion"/>
  </si>
  <si>
    <t>You've observed that during group discussion sessions in class, certain students consistently dominate the conversation, while others hardly say a word. This has been happening for quite a while. What would you do in this situation?</t>
    <phoneticPr fontId="6" type="noConversion"/>
  </si>
  <si>
    <t>After a class quiz, you discover that several students scored far below the class average. These students had performed reasonably well in previous lessons, but this time there's been a noticeable decline. What would you do in this situation?</t>
    <phoneticPr fontId="6" type="noConversion"/>
  </si>
  <si>
    <t>You're explaining a complex science experiment, but you notice that students' attention is starting to wander. Some are whispering to each other, while others are playing with their stationery. You realize they may not be interested in this experiment. What would you do in this situation?</t>
    <phoneticPr fontId="6" type="noConversion"/>
  </si>
  <si>
    <t>You notice that one student keeps interrupting you while you're teaching to ask unrelated questions, causing the class's learning pace to fall behind. The other students have started to notice this behavior and are getting a bit frustrated. What would you do in this situation?</t>
    <phoneticPr fontId="6" type="noConversion"/>
  </si>
  <si>
    <t>You notice that in recent class discussions, several students are always stubborn and unwilling to listen to others' viewpoints, which has made the discussion atmosphere tense. What would you do in this situation?</t>
    <phoneticPr fontId="6" type="noConversion"/>
  </si>
  <si>
    <t>During a class activity, you discover that the teaching equipment you're using suddenly malfunctions, making it impossible for you to proceed with your lesson as planned. Students start whispering to each other, and the classroom is becoming somewhat chaotic. What would you do in this situation?</t>
    <phoneticPr fontId="6" type="noConversion"/>
  </si>
  <si>
    <t>You receive feedback from a parent saying that their child always feels anxious and stressed in your class, which has led to declining academic performance. The parent hopes you can help their child relieve the pressure. What would you do in this situation?</t>
    <phoneticPr fontId="6" type="noConversion"/>
  </si>
  <si>
    <t>You notice that as the semester draws to a close, students are generally showing signs of fatigue and a lax attitude. Their enthusiasm for participating in class activities has noticeably decreased, and the quality of their homework has also declined significantly. What would you do in this situation?</t>
    <phoneticPr fontId="6" type="noConversion"/>
  </si>
  <si>
    <t>After a class quiz, you discover that a small number of students achieved unusually high scores, while the other students' grades were generally low. This has raised questions among other students about the fairness of the test. What would you do in this situation?</t>
    <phoneticPr fontId="6" type="noConversion"/>
  </si>
  <si>
    <t>scenario_English_version</t>
    <phoneticPr fontId="6" type="noConversion"/>
  </si>
  <si>
    <t>options_English_version</t>
    <phoneticPr fontId="6" type="noConversion"/>
  </si>
  <si>
    <t>Change the quiz format from closed-book to open-book, but require students to complete it independently.</t>
    <phoneticPr fontId="6" type="noConversion"/>
  </si>
  <si>
    <t>After the quiz, talk privately with those students to understand the reasons and provide guidance.</t>
    <phoneticPr fontId="6" type="noConversion"/>
  </si>
  <si>
    <t>Directly call out and criticize those students who shared answers, and deduct points from their quiz scores.</t>
    <phoneticPr fontId="6" type="noConversion"/>
  </si>
  <si>
    <t>Walk over near those students and gently tap on their desks as a warning.</t>
    <phoneticPr fontId="6" type="noConversion"/>
  </si>
  <si>
    <t>Talk to the students who excluded their classmates after class, emphasizing the importance of teamwork.</t>
    <phoneticPr fontId="6" type="noConversion"/>
  </si>
  <si>
    <t>Comfort the excluded students and encourage them to proactively seek out other groups to join.</t>
    <phoneticPr fontId="6" type="noConversion"/>
  </si>
  <si>
    <t>Directly assign several students to join the groups of those who were excluded.</t>
    <phoneticPr fontId="6" type="noConversion"/>
  </si>
  <si>
    <t>Reorganize the grouping method to ensure every student can participate in the task.</t>
    <phoneticPr fontId="6" type="noConversion"/>
  </si>
  <si>
    <t>You're elaborating a complex math problem, but you notice that most students look very confused. They're furrowing their brows, struggling to follow your reasoning. One student even raises their hand and says, "I don't understand." What would you do in this situation?</t>
    <phoneticPr fontId="6" type="noConversion"/>
  </si>
  <si>
    <t>Stop the teaching and let students think on their own for a while before continuing.</t>
    <phoneticPr fontId="6" type="noConversion"/>
  </si>
  <si>
    <t>Switch to a simpler approach and go through the problem again.</t>
    <phoneticPr fontId="6" type="noConversion"/>
  </si>
  <si>
    <t>Continue with the lesson as planned and offer one-on-one tutoring after class for students who need it.</t>
    <phoneticPr fontId="6" type="noConversion"/>
  </si>
  <si>
    <t>Ask students who have understood to come up and explain, while you provide guidance alongside.</t>
    <phoneticPr fontId="6" type="noConversion"/>
  </si>
  <si>
    <t>Criticize him directly in class and tell him to focus.</t>
    <phoneticPr fontId="6" type="noConversion"/>
  </si>
  <si>
    <t>Contact his parents to inform them of the situation and seek their cooperation.</t>
    <phoneticPr fontId="6" type="noConversion"/>
  </si>
  <si>
    <t>Have high-performing students help him by forming a peer support group.</t>
    <phoneticPr fontId="6" type="noConversion"/>
  </si>
  <si>
    <t>Talk to him after class to understand what problems he's been facing recently and offer help.</t>
    <phoneticPr fontId="6" type="noConversion"/>
  </si>
  <si>
    <t>Request to postpone the open class to ensure adequate preparation.</t>
    <phoneticPr fontId="6" type="noConversion"/>
  </si>
  <si>
    <t>Insist on using the original classroom, believing this won't have much impact on the open class.</t>
    <phoneticPr fontId="6" type="noConversion"/>
  </si>
  <si>
    <t>Adjust your lesson plan based on the new classroom's layout.</t>
    <phoneticPr fontId="6" type="noConversion"/>
  </si>
  <si>
    <t>Simplify the original teaching content to adapt to the new classroom environment.</t>
    <phoneticPr fontId="6" type="noConversion"/>
  </si>
  <si>
    <t>Criticize him severely and deduct points from his homework grade as punishment.</t>
    <phoneticPr fontId="6" type="noConversion"/>
  </si>
  <si>
    <t>Publicly address this incident in class to warn other students.</t>
    <phoneticPr fontId="6" type="noConversion"/>
  </si>
  <si>
    <t>Contact his parents to work together on educating him.</t>
    <phoneticPr fontId="6" type="noConversion"/>
  </si>
  <si>
    <t>Require him to redo the assignment independently and explain the concepts he doesn't understand.</t>
    <phoneticPr fontId="6" type="noConversion"/>
  </si>
  <si>
    <t>After the activity, talk privately with those students to understand how they're feeling.</t>
    <phoneticPr fontId="6" type="noConversion"/>
  </si>
  <si>
    <t>Ask other students why those students didn't participate.</t>
    <phoneticPr fontId="6" type="noConversion"/>
  </si>
  <si>
    <t>They probably don't like this type of game, so don't intervene.</t>
    <phoneticPr fontId="6" type="noConversion"/>
  </si>
  <si>
    <t>Invite those students to join the game, ensuring they're not left out.</t>
    <phoneticPr fontId="6" type="noConversion"/>
  </si>
  <si>
    <t>Reply to the email and invite the parent to meet at school to discuss the situation in detail and find a solution.</t>
    <phoneticPr fontId="6" type="noConversion"/>
  </si>
  <si>
    <t>Publicly discuss the importance of treating each other kindly in class and observe how things develop.</t>
    <phoneticPr fontId="6" type="noConversion"/>
  </si>
  <si>
    <t>Talk privately with the students involved and remind them to be mindful of their words and actions.</t>
    <phoneticPr fontId="6" type="noConversion"/>
  </si>
  <si>
    <t>Consider it just joking around between students and don't take it too seriously.</t>
    <phoneticPr fontId="6" type="noConversion"/>
  </si>
  <si>
    <t>Talk to the students who rarely speak after class and encourage them to participate actively in discussions.</t>
    <phoneticPr fontId="6" type="noConversion"/>
  </si>
  <si>
    <t>Praise the active students to motivate other students.</t>
    <phoneticPr fontId="6" type="noConversion"/>
  </si>
  <si>
    <t>Recognize that everyone has their own personality and don't force everyone to participate actively.</t>
    <phoneticPr fontId="6" type="noConversion"/>
  </si>
  <si>
    <t>Adjust the group discussion format to ensure every student has an opportunity to speak.</t>
    <phoneticPr fontId="6" type="noConversion"/>
  </si>
  <si>
    <t>Talk to these students after class to understand why their grades dropped and offer help.</t>
    <phoneticPr fontId="6" type="noConversion"/>
  </si>
  <si>
    <t>Require these students to do extra review and preparation before the next quiz.</t>
    <phoneticPr fontId="6" type="noConversion"/>
  </si>
  <si>
    <t>Consider it just a one-time mistake and don't worry too much about it.</t>
    <phoneticPr fontId="6" type="noConversion"/>
  </si>
  <si>
    <t>Adjust the teaching approach to ensure all students can keep up with the course.</t>
    <phoneticPr fontId="6" type="noConversion"/>
  </si>
  <si>
    <t>Collect feedback from students after class to improve future teaching methods.</t>
    <phoneticPr fontId="6" type="noConversion"/>
  </si>
  <si>
    <t>Switch to a more engaging and interesting way to explain the experiment to capture students' attention.</t>
    <phoneticPr fontId="6" type="noConversion"/>
  </si>
  <si>
    <t>Pause the explanation and ask students if they have any questions or concerns.</t>
    <phoneticPr fontId="6" type="noConversion"/>
  </si>
  <si>
    <t>Consider the students' behavior normal and continue with the lesson as planned.</t>
    <phoneticPr fontId="6" type="noConversion"/>
  </si>
  <si>
    <t>Write back to encourage him and provide some learning resources and suggestions.</t>
    <phoneticPr fontId="6" type="noConversion"/>
  </si>
  <si>
    <t>Publicly praise his enthusiasm for learning in class to motivate other students.</t>
    <phoneticPr fontId="6" type="noConversion"/>
  </si>
  <si>
    <t>Consider his questions too complex and suggest he seek help from other experts.</t>
    <phoneticPr fontId="6" type="noConversion"/>
  </si>
  <si>
    <t>Invite him to school for face-to-face tutoring and discussion.</t>
    <phoneticPr fontId="6" type="noConversion"/>
  </si>
  <si>
    <t>Firmly stop the student's behavior and warn him not to interrupt the lesson again.</t>
    <phoneticPr fontId="6" type="noConversion"/>
  </si>
  <si>
    <t>Ignore the student's interruptions and continue with your lesson.</t>
    <phoneticPr fontId="6" type="noConversion"/>
  </si>
  <si>
    <t>Patiently communicate with the student to understand why he keeps interrupting and guide him on how to ask questions appropriately.</t>
    <phoneticPr fontId="6" type="noConversion"/>
  </si>
  <si>
    <t>Talk privately with the student after class to remind him to be mindful of classroom order and when to ask questions.</t>
    <phoneticPr fontId="6" type="noConversion"/>
  </si>
  <si>
    <t>Emphasize the importance of mutual respect and listening in class to guide the discussion back on track.</t>
    <phoneticPr fontId="6" type="noConversion"/>
  </si>
  <si>
    <t>Directly call on other students to speak to ensure diversity in the discussion.</t>
    <phoneticPr fontId="6" type="noConversion"/>
  </si>
  <si>
    <t>Consider this an expression of students' personalities and choose not to intervene in the discussion.</t>
    <phoneticPr fontId="6" type="noConversion"/>
  </si>
  <si>
    <t>Talk individually with these students after class to remind them to be mindful of their discussion approach and attitude.</t>
    <phoneticPr fontId="6" type="noConversion"/>
  </si>
  <si>
    <t>Try to fix the equipment yourself while calming the students down.</t>
    <phoneticPr fontId="6" type="noConversion"/>
  </si>
  <si>
    <t>Flexibly adjust the lesson content and conduct classroom activities that don't require the equipment.</t>
    <phoneticPr fontId="6" type="noConversion"/>
  </si>
  <si>
    <t>Immediately contact technical staff to repair the equipment while organizing other activities for students.</t>
    <phoneticPr fontId="6" type="noConversion"/>
  </si>
  <si>
    <t>Consider equipment failure inevitable and choose to suspend class until the equipment is fixed.</t>
    <phoneticPr fontId="6" type="noConversion"/>
  </si>
  <si>
    <t>Talk to the student to understand the reasons for his anxiety and provide appropriate support.</t>
    <phoneticPr fontId="6" type="noConversion"/>
  </si>
  <si>
    <t>Incorporate some relaxation and stress-relief activities in class to help students manage their emotions.</t>
    <phoneticPr fontId="6" type="noConversion"/>
  </si>
  <si>
    <t>Suggest the parent seek professional counseling to address the issue more comprehensively.</t>
    <phoneticPr fontId="6" type="noConversion"/>
  </si>
  <si>
    <t>Believe that every student faces significant academic pressure and needs to cope and adjust on their own.</t>
    <phoneticPr fontId="6" type="noConversion"/>
  </si>
  <si>
    <t>Increase the fun and interactivity of classes to reignite students' interest in learning.</t>
    <phoneticPr fontId="6" type="noConversion"/>
  </si>
  <si>
    <t>Remind students of the importance of the end of the semester and encourage them to persevere.</t>
    <phoneticPr fontId="6" type="noConversion"/>
  </si>
  <si>
    <t>Believe the students have already done their best and choose not to impose additional pressure.</t>
    <phoneticPr fontId="6" type="noConversion"/>
  </si>
  <si>
    <t>Strengthen guidance on student review before the next quiz to improve overall performance</t>
    <phoneticPr fontId="6" type="noConversion"/>
  </si>
  <si>
    <t>Believe the high-scoring students simply performed exceptionally well and no adjustments to the test are needed.</t>
    <phoneticPr fontId="6" type="noConversion"/>
  </si>
  <si>
    <t>Invite student representatives to participate in reviewing the test to increase transparency.</t>
    <phoneticPr fontId="6" type="noConversion"/>
  </si>
  <si>
    <t>Review the test items and grading criteria to ensure fairness.</t>
    <phoneticPr fontId="6" type="noConversion"/>
  </si>
  <si>
    <t>A student has been distracted in class for several days, and his academic performance has declined noticeably. Besides, this student is consistently unable to answer your question during class. What would you do in this situation?"</t>
    <phoneticPr fontId="6" type="noConversion"/>
  </si>
  <si>
    <t>You find out that one of your students has plagiarized another student's work in a homework assignment. When you call this student into your office to talk about it, the student confesses to what he/she did and seems genuinely regretful. The student tells you he chose to copy because he didn't understand how to do the assignment. What would you do in this situation?</t>
    <phoneticPr fontId="6" type="noConversion"/>
  </si>
  <si>
    <t>You receive a letter from a student in which he expresses strong interest in a particular subject and asks how to study it more deeply. This student also mentions encountering some difficulties in this subject and hopes to receive your guidance. What would you do in this situation?</t>
    <phoneticPr fontId="6" type="noConversion"/>
  </si>
  <si>
    <t>Communicate with parents to jointly encourage students to maintain their learning motivation.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</si>
</sst>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宋体"/>
      <charset val="134"/>
      <scheme val="minor"/>
    </font>
    <font>
      <sz val="11"/>
      <color rgb="FF000000"/>
      <name val="宋体"/>
      <family val="2"/>
      <scheme val="minor"/>
    </font>
    <font>
      <b/>
      <sz val="11"/>
      <color theme="1"/>
      <name val="宋体"/>
      <family val="2"/>
      <scheme val="minor"/>
    </font>
    <font>
      <b/>
      <sz val="11"/>
      <color rgb="FFFF0000"/>
      <name val="宋体"/>
      <family val="2"/>
      <scheme val="minor"/>
    </font>
    <font>
      <b/>
      <sz val="11"/>
      <color theme="8"/>
      <name val="宋体"/>
      <family val="2"/>
      <scheme val="minor"/>
    </font>
    <font>
      <b/>
      <sz val="11"/>
      <color rgb="FFC00000"/>
      <name val="宋体"/>
      <family val="2"/>
      <scheme val="minor"/>
    </font>
    <font>
      <sz val="9"/>
      <name val="宋体"/>
      <family val="3"/>
      <charset val="134"/>
      <scheme val="minor"/>
    </font>
  </fonts>
  <fills count="4">
    <fill>
      <patternFill patternType="none"/>
    </fill>
    <fill>
      <patternFill patternType="gray125"/>
    </fill>
    <fill>
      <patternFill patternType="solid">
        <fgColor theme="6" tint="0.7999816888943144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2">
    <xf numFmtId="0" fontId="0" fillId="0" borderId="0" xfId="0" applyAlignment="1">
      <alignment vertical="center"/>
    </xf>
    <xf numFmtId="0" fontId="1" fillId="0" borderId="0" xfId="0" applyFont="1"/>
    <xf numFmtId="0" fontId="0" fillId="2" borderId="0" xfId="0" applyFill="1" applyAlignment="1">
      <alignment vertical="center"/>
    </xf>
    <xf numFmtId="0" fontId="1" fillId="2" borderId="0" xfId="0" applyFont="1" applyFill="1"/>
    <xf numFmtId="0" fontId="2" fillId="0" borderId="0" xfId="0" applyFont="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2" fillId="2" borderId="0" xfId="0" applyFont="1" applyFill="1" applyAlignment="1">
      <alignment vertical="center"/>
    </xf>
    <xf numFmtId="0" fontId="5" fillId="2" borderId="0" xfId="0" applyFont="1" applyFill="1" applyAlignment="1">
      <alignment vertical="center"/>
    </xf>
    <xf numFmtId="0" fontId="5" fillId="0" borderId="0" xfId="0" applyFont="1" applyAlignment="1">
      <alignment vertical="center"/>
    </xf>
    <xf numFmtId="0" fontId="4" fillId="0" borderId="0" xfId="0" applyFont="1" applyAlignment="1">
      <alignment vertical="center"/>
    </xf>
    <xf numFmtId="0" fontId="1" fillId="3" borderId="0" xfId="0" applyFont="1" applyFill="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73"/>
  <sheetViews>
    <sheetView tabSelected="1" zoomScale="113" zoomScaleNormal="113" workbookViewId="0">
      <selection activeCell="E1" sqref="E1"/>
    </sheetView>
  </sheetViews>
  <sheetFormatPr baseColWidth="10" defaultColWidth="9.1640625" defaultRowHeight="14"/>
  <cols>
    <col min="1" max="1" width="15" style="1" customWidth="1"/>
    <col min="2" max="3" width="23.83203125" style="1" customWidth="1"/>
    <col min="4" max="4" width="28" style="1" customWidth="1"/>
    <col min="5" max="5" width="18.1640625" style="1" customWidth="1"/>
    <col min="6" max="6" width="11.1640625" style="1" customWidth="1"/>
    <col min="7" max="15" width="13.5" style="1" customWidth="1"/>
    <col min="16" max="16" width="13" customWidth="1"/>
    <col min="17" max="17" width="13.5" style="1"/>
    <col min="18" max="18" width="9.1640625" style="4"/>
  </cols>
  <sheetData>
    <row r="1" spans="1:18">
      <c r="A1" s="1" t="s">
        <v>0</v>
      </c>
      <c r="B1" s="1" t="s">
        <v>123</v>
      </c>
      <c r="C1" s="11" t="s">
        <v>138</v>
      </c>
      <c r="D1" s="1" t="s">
        <v>113</v>
      </c>
      <c r="E1" s="11" t="s">
        <v>139</v>
      </c>
      <c r="F1" s="1" t="s">
        <v>2</v>
      </c>
      <c r="G1" s="1" t="s">
        <v>114</v>
      </c>
      <c r="H1" s="1" t="s">
        <v>115</v>
      </c>
      <c r="I1" s="1" t="s">
        <v>116</v>
      </c>
      <c r="J1" s="1" t="s">
        <v>117</v>
      </c>
      <c r="K1" s="1" t="s">
        <v>118</v>
      </c>
      <c r="L1" s="1" t="s">
        <v>119</v>
      </c>
      <c r="M1" s="1" t="s">
        <v>120</v>
      </c>
      <c r="N1" s="1" t="s">
        <v>121</v>
      </c>
      <c r="O1" s="1" t="s">
        <v>122</v>
      </c>
      <c r="P1" t="s">
        <v>1</v>
      </c>
      <c r="Q1" s="1" t="s">
        <v>3</v>
      </c>
      <c r="R1" s="4" t="s">
        <v>4</v>
      </c>
    </row>
    <row r="2" spans="1:18" ht="18" customHeight="1">
      <c r="A2" s="3" t="s">
        <v>5</v>
      </c>
      <c r="B2" s="3" t="s">
        <v>6</v>
      </c>
      <c r="C2" s="3" t="s">
        <v>124</v>
      </c>
      <c r="D2" s="3" t="s">
        <v>7</v>
      </c>
      <c r="E2" s="3" t="s">
        <v>140</v>
      </c>
      <c r="F2" s="3">
        <v>2</v>
      </c>
      <c r="G2" s="3">
        <v>3</v>
      </c>
      <c r="H2" s="3">
        <v>5</v>
      </c>
      <c r="I2" s="3">
        <v>1</v>
      </c>
      <c r="J2" s="3">
        <v>2</v>
      </c>
      <c r="K2" s="3">
        <v>1</v>
      </c>
      <c r="L2" s="3">
        <v>2</v>
      </c>
      <c r="M2" s="3">
        <v>2</v>
      </c>
      <c r="N2" s="3">
        <v>3</v>
      </c>
      <c r="O2" s="3">
        <v>1</v>
      </c>
      <c r="P2" s="2">
        <f>AVERAGE(G2:O2)</f>
        <v>2.2222222222222223</v>
      </c>
      <c r="Q2" s="3">
        <v>0</v>
      </c>
      <c r="R2" s="5">
        <f>F2-Q2</f>
        <v>2</v>
      </c>
    </row>
    <row r="3" spans="1:18">
      <c r="A3" s="3" t="s">
        <v>5</v>
      </c>
      <c r="B3" s="3" t="s">
        <v>6</v>
      </c>
      <c r="C3" s="3" t="s">
        <v>124</v>
      </c>
      <c r="D3" s="3" t="s">
        <v>8</v>
      </c>
      <c r="E3" s="3" t="s">
        <v>141</v>
      </c>
      <c r="F3" s="3">
        <v>1</v>
      </c>
      <c r="G3" s="3">
        <v>5</v>
      </c>
      <c r="H3" s="3">
        <v>4</v>
      </c>
      <c r="I3" s="3">
        <v>5</v>
      </c>
      <c r="J3" s="3">
        <v>3</v>
      </c>
      <c r="K3" s="3">
        <v>5</v>
      </c>
      <c r="L3" s="3">
        <v>4</v>
      </c>
      <c r="M3" s="3">
        <v>2</v>
      </c>
      <c r="N3" s="3">
        <v>4</v>
      </c>
      <c r="O3" s="3">
        <v>5</v>
      </c>
      <c r="P3" s="2">
        <f t="shared" ref="P3:P34" si="0">AVERAGE(G3:O3)</f>
        <v>4.1111111111111107</v>
      </c>
      <c r="Q3" s="3">
        <v>2</v>
      </c>
      <c r="R3" s="6">
        <f t="shared" ref="R3:R34" si="1">F3-Q3</f>
        <v>-1</v>
      </c>
    </row>
    <row r="4" spans="1:18">
      <c r="A4" s="3" t="s">
        <v>5</v>
      </c>
      <c r="B4" s="3" t="s">
        <v>6</v>
      </c>
      <c r="C4" s="3" t="s">
        <v>124</v>
      </c>
      <c r="D4" s="3" t="s">
        <v>9</v>
      </c>
      <c r="E4" s="3" t="s">
        <v>142</v>
      </c>
      <c r="F4" s="3">
        <v>0</v>
      </c>
      <c r="G4" s="3">
        <v>1</v>
      </c>
      <c r="H4" s="3">
        <v>2</v>
      </c>
      <c r="I4" s="3">
        <v>3</v>
      </c>
      <c r="J4" s="3">
        <v>5</v>
      </c>
      <c r="K4" s="3">
        <v>5</v>
      </c>
      <c r="L4" s="3">
        <v>1</v>
      </c>
      <c r="M4" s="3">
        <v>1</v>
      </c>
      <c r="N4" s="3">
        <v>1</v>
      </c>
      <c r="O4" s="3">
        <v>2</v>
      </c>
      <c r="P4" s="2">
        <f t="shared" si="0"/>
        <v>2.3333333333333335</v>
      </c>
      <c r="Q4" s="3">
        <v>1</v>
      </c>
      <c r="R4" s="6">
        <f t="shared" si="1"/>
        <v>-1</v>
      </c>
    </row>
    <row r="5" spans="1:18">
      <c r="A5" s="3" t="s">
        <v>5</v>
      </c>
      <c r="B5" s="3" t="s">
        <v>6</v>
      </c>
      <c r="C5" s="3" t="s">
        <v>124</v>
      </c>
      <c r="D5" s="3" t="s">
        <v>10</v>
      </c>
      <c r="E5" s="3" t="s">
        <v>143</v>
      </c>
      <c r="F5" s="3">
        <v>1</v>
      </c>
      <c r="G5" s="3">
        <v>4</v>
      </c>
      <c r="H5" s="3">
        <v>5</v>
      </c>
      <c r="I5" s="3">
        <v>5</v>
      </c>
      <c r="J5" s="3">
        <v>4</v>
      </c>
      <c r="K5" s="3">
        <v>4</v>
      </c>
      <c r="L5" s="3">
        <v>2</v>
      </c>
      <c r="M5" s="3">
        <v>4</v>
      </c>
      <c r="N5" s="3">
        <v>1</v>
      </c>
      <c r="O5" s="3">
        <v>5</v>
      </c>
      <c r="P5" s="2">
        <f t="shared" si="0"/>
        <v>3.7777777777777777</v>
      </c>
      <c r="Q5" s="3">
        <v>1</v>
      </c>
      <c r="R5" s="7">
        <f t="shared" si="1"/>
        <v>0</v>
      </c>
    </row>
    <row r="6" spans="1:18">
      <c r="A6" s="1" t="s">
        <v>11</v>
      </c>
      <c r="B6" s="1" t="s">
        <v>12</v>
      </c>
      <c r="C6" s="1" t="s">
        <v>125</v>
      </c>
      <c r="D6" s="1" t="s">
        <v>13</v>
      </c>
      <c r="E6" s="1" t="s">
        <v>144</v>
      </c>
      <c r="F6" s="1">
        <v>1</v>
      </c>
      <c r="G6" s="1">
        <v>5</v>
      </c>
      <c r="H6" s="1">
        <v>5</v>
      </c>
      <c r="I6" s="1">
        <v>3</v>
      </c>
      <c r="J6" s="1">
        <v>5</v>
      </c>
      <c r="K6" s="1">
        <v>3</v>
      </c>
      <c r="L6" s="1">
        <v>4</v>
      </c>
      <c r="M6" s="1">
        <v>4</v>
      </c>
      <c r="N6" s="1">
        <v>3</v>
      </c>
      <c r="O6" s="1">
        <v>4</v>
      </c>
      <c r="P6">
        <f t="shared" si="0"/>
        <v>4</v>
      </c>
      <c r="Q6" s="1">
        <v>1</v>
      </c>
      <c r="R6" s="4">
        <f t="shared" si="1"/>
        <v>0</v>
      </c>
    </row>
    <row r="7" spans="1:18">
      <c r="A7" s="1" t="s">
        <v>11</v>
      </c>
      <c r="B7" s="1" t="s">
        <v>12</v>
      </c>
      <c r="C7" s="1" t="s">
        <v>125</v>
      </c>
      <c r="D7" s="1" t="s">
        <v>14</v>
      </c>
      <c r="E7" s="1" t="s">
        <v>145</v>
      </c>
      <c r="F7" s="1">
        <v>1</v>
      </c>
      <c r="G7" s="1">
        <v>5</v>
      </c>
      <c r="H7" s="1">
        <v>4</v>
      </c>
      <c r="I7" s="1">
        <v>1</v>
      </c>
      <c r="J7" s="1">
        <v>4</v>
      </c>
      <c r="K7" s="1">
        <v>4</v>
      </c>
      <c r="L7" s="1">
        <v>4</v>
      </c>
      <c r="M7" s="1">
        <v>4</v>
      </c>
      <c r="N7" s="1">
        <v>2</v>
      </c>
      <c r="O7" s="1">
        <v>4</v>
      </c>
      <c r="P7">
        <f t="shared" si="0"/>
        <v>3.5555555555555554</v>
      </c>
      <c r="Q7" s="1">
        <v>1</v>
      </c>
      <c r="R7" s="4">
        <f t="shared" si="1"/>
        <v>0</v>
      </c>
    </row>
    <row r="8" spans="1:18">
      <c r="A8" s="1" t="s">
        <v>11</v>
      </c>
      <c r="B8" s="1" t="s">
        <v>12</v>
      </c>
      <c r="C8" s="1" t="s">
        <v>125</v>
      </c>
      <c r="D8" s="1" t="s">
        <v>15</v>
      </c>
      <c r="E8" s="1" t="s">
        <v>146</v>
      </c>
      <c r="F8" s="1">
        <v>0</v>
      </c>
      <c r="G8" s="1">
        <v>1</v>
      </c>
      <c r="H8" s="1">
        <v>4</v>
      </c>
      <c r="I8" s="1">
        <v>1</v>
      </c>
      <c r="J8" s="1">
        <v>3</v>
      </c>
      <c r="K8" s="1">
        <v>3</v>
      </c>
      <c r="L8" s="1">
        <v>1</v>
      </c>
      <c r="M8" s="1">
        <v>4</v>
      </c>
      <c r="N8" s="1">
        <v>1</v>
      </c>
      <c r="O8" s="1">
        <v>5</v>
      </c>
      <c r="P8">
        <f t="shared" si="0"/>
        <v>2.5555555555555554</v>
      </c>
      <c r="Q8" s="1">
        <v>0</v>
      </c>
      <c r="R8" s="4">
        <f t="shared" si="1"/>
        <v>0</v>
      </c>
    </row>
    <row r="9" spans="1:18">
      <c r="A9" s="1" t="s">
        <v>11</v>
      </c>
      <c r="B9" s="1" t="s">
        <v>12</v>
      </c>
      <c r="C9" s="1" t="s">
        <v>125</v>
      </c>
      <c r="D9" s="1" t="s">
        <v>16</v>
      </c>
      <c r="E9" s="1" t="s">
        <v>147</v>
      </c>
      <c r="F9" s="1">
        <v>2</v>
      </c>
      <c r="G9" s="1">
        <v>5</v>
      </c>
      <c r="H9" s="1">
        <v>5</v>
      </c>
      <c r="I9" s="1">
        <v>5</v>
      </c>
      <c r="J9" s="1">
        <v>5</v>
      </c>
      <c r="K9" s="1">
        <v>5</v>
      </c>
      <c r="L9" s="1">
        <v>3</v>
      </c>
      <c r="M9" s="1">
        <v>5</v>
      </c>
      <c r="N9" s="1">
        <v>3</v>
      </c>
      <c r="O9" s="1">
        <v>2</v>
      </c>
      <c r="P9">
        <f t="shared" si="0"/>
        <v>4.2222222222222223</v>
      </c>
      <c r="Q9" s="1">
        <v>2</v>
      </c>
      <c r="R9" s="4">
        <f t="shared" si="1"/>
        <v>0</v>
      </c>
    </row>
    <row r="10" spans="1:18">
      <c r="A10" s="3" t="s">
        <v>17</v>
      </c>
      <c r="B10" s="3" t="s">
        <v>18</v>
      </c>
      <c r="C10" s="3" t="s">
        <v>148</v>
      </c>
      <c r="D10" s="3" t="s">
        <v>19</v>
      </c>
      <c r="E10" s="3" t="s">
        <v>149</v>
      </c>
      <c r="F10" s="3">
        <v>0</v>
      </c>
      <c r="G10" s="3">
        <v>3</v>
      </c>
      <c r="H10" s="3">
        <v>4</v>
      </c>
      <c r="I10" s="3">
        <v>2</v>
      </c>
      <c r="J10" s="3">
        <v>5</v>
      </c>
      <c r="K10" s="3">
        <v>4</v>
      </c>
      <c r="L10" s="3">
        <v>1</v>
      </c>
      <c r="M10" s="3">
        <v>3</v>
      </c>
      <c r="N10" s="3">
        <v>5</v>
      </c>
      <c r="O10" s="3">
        <v>4</v>
      </c>
      <c r="P10" s="2">
        <f t="shared" si="0"/>
        <v>3.4444444444444446</v>
      </c>
      <c r="Q10" s="3">
        <v>1</v>
      </c>
      <c r="R10" s="6">
        <f t="shared" si="1"/>
        <v>-1</v>
      </c>
    </row>
    <row r="11" spans="1:18">
      <c r="A11" s="3" t="s">
        <v>17</v>
      </c>
      <c r="B11" s="3" t="s">
        <v>18</v>
      </c>
      <c r="C11" s="3" t="s">
        <v>148</v>
      </c>
      <c r="D11" s="3" t="s">
        <v>20</v>
      </c>
      <c r="E11" s="3" t="s">
        <v>150</v>
      </c>
      <c r="F11" s="3">
        <v>2</v>
      </c>
      <c r="G11" s="3">
        <v>3</v>
      </c>
      <c r="H11" s="3">
        <v>5</v>
      </c>
      <c r="I11" s="3">
        <v>5</v>
      </c>
      <c r="J11" s="3">
        <v>5</v>
      </c>
      <c r="K11" s="3">
        <v>5</v>
      </c>
      <c r="L11" s="3">
        <v>3</v>
      </c>
      <c r="M11" s="3">
        <v>5</v>
      </c>
      <c r="N11" s="3">
        <v>2</v>
      </c>
      <c r="O11" s="3">
        <v>4</v>
      </c>
      <c r="P11" s="2">
        <f t="shared" si="0"/>
        <v>4.1111111111111107</v>
      </c>
      <c r="Q11" s="3">
        <v>1</v>
      </c>
      <c r="R11" s="8">
        <f t="shared" si="1"/>
        <v>1</v>
      </c>
    </row>
    <row r="12" spans="1:18">
      <c r="A12" s="3" t="s">
        <v>17</v>
      </c>
      <c r="B12" s="3" t="s">
        <v>18</v>
      </c>
      <c r="C12" s="3" t="s">
        <v>148</v>
      </c>
      <c r="D12" s="3" t="s">
        <v>21</v>
      </c>
      <c r="E12" s="3" t="s">
        <v>151</v>
      </c>
      <c r="F12" s="3">
        <v>1</v>
      </c>
      <c r="G12" s="3">
        <v>1</v>
      </c>
      <c r="H12" s="3">
        <v>3</v>
      </c>
      <c r="I12" s="3">
        <v>1</v>
      </c>
      <c r="J12" s="3">
        <v>4</v>
      </c>
      <c r="K12" s="3">
        <v>2</v>
      </c>
      <c r="L12" s="3">
        <v>3</v>
      </c>
      <c r="M12" s="3">
        <v>4</v>
      </c>
      <c r="N12" s="3">
        <v>3</v>
      </c>
      <c r="O12" s="3">
        <v>2</v>
      </c>
      <c r="P12" s="2">
        <f t="shared" si="0"/>
        <v>2.5555555555555554</v>
      </c>
      <c r="Q12" s="3">
        <v>0</v>
      </c>
      <c r="R12" s="8">
        <f t="shared" si="1"/>
        <v>1</v>
      </c>
    </row>
    <row r="13" spans="1:18">
      <c r="A13" s="3" t="s">
        <v>17</v>
      </c>
      <c r="B13" s="3" t="s">
        <v>18</v>
      </c>
      <c r="C13" s="3" t="s">
        <v>148</v>
      </c>
      <c r="D13" s="3" t="s">
        <v>22</v>
      </c>
      <c r="E13" s="3" t="s">
        <v>152</v>
      </c>
      <c r="F13" s="3">
        <v>1</v>
      </c>
      <c r="G13" s="3">
        <v>5</v>
      </c>
      <c r="H13" s="3">
        <v>4</v>
      </c>
      <c r="I13" s="3">
        <v>5</v>
      </c>
      <c r="J13" s="3">
        <v>4</v>
      </c>
      <c r="K13" s="3">
        <v>5</v>
      </c>
      <c r="L13" s="3">
        <v>3</v>
      </c>
      <c r="M13" s="3">
        <v>4</v>
      </c>
      <c r="N13" s="3">
        <v>4</v>
      </c>
      <c r="O13" s="3">
        <v>5</v>
      </c>
      <c r="P13" s="2">
        <f t="shared" si="0"/>
        <v>4.333333333333333</v>
      </c>
      <c r="Q13" s="3">
        <v>2</v>
      </c>
      <c r="R13" s="6">
        <f t="shared" si="1"/>
        <v>-1</v>
      </c>
    </row>
    <row r="14" spans="1:18">
      <c r="A14" s="1" t="s">
        <v>23</v>
      </c>
      <c r="B14" s="1" t="s">
        <v>24</v>
      </c>
      <c r="C14" s="1" t="s">
        <v>212</v>
      </c>
      <c r="D14" s="1" t="s">
        <v>25</v>
      </c>
      <c r="E14" s="1" t="s">
        <v>153</v>
      </c>
      <c r="F14" s="1">
        <v>0</v>
      </c>
      <c r="G14" s="1">
        <v>1</v>
      </c>
      <c r="H14" s="1">
        <v>2</v>
      </c>
      <c r="I14" s="1">
        <v>1</v>
      </c>
      <c r="J14" s="1">
        <v>3</v>
      </c>
      <c r="K14" s="1">
        <v>2</v>
      </c>
      <c r="L14" s="1">
        <v>1</v>
      </c>
      <c r="M14" s="1">
        <v>1</v>
      </c>
      <c r="N14" s="1">
        <v>1</v>
      </c>
      <c r="O14" s="1">
        <v>1</v>
      </c>
      <c r="P14">
        <f t="shared" si="0"/>
        <v>1.4444444444444444</v>
      </c>
      <c r="Q14" s="1">
        <v>0</v>
      </c>
      <c r="R14" s="4">
        <f t="shared" si="1"/>
        <v>0</v>
      </c>
    </row>
    <row r="15" spans="1:18">
      <c r="A15" s="1" t="s">
        <v>23</v>
      </c>
      <c r="B15" s="1" t="s">
        <v>24</v>
      </c>
      <c r="C15" s="1" t="s">
        <v>212</v>
      </c>
      <c r="D15" s="1" t="s">
        <v>26</v>
      </c>
      <c r="E15" s="1" t="s">
        <v>154</v>
      </c>
      <c r="F15" s="1">
        <v>1</v>
      </c>
      <c r="G15" s="1">
        <v>5</v>
      </c>
      <c r="H15" s="1">
        <v>4</v>
      </c>
      <c r="I15" s="1">
        <v>5</v>
      </c>
      <c r="J15" s="1">
        <v>5</v>
      </c>
      <c r="K15" s="1">
        <v>4</v>
      </c>
      <c r="L15" s="1">
        <v>3</v>
      </c>
      <c r="M15" s="1">
        <v>3</v>
      </c>
      <c r="N15" s="1">
        <v>4</v>
      </c>
      <c r="O15" s="1">
        <v>3</v>
      </c>
      <c r="P15">
        <f t="shared" si="0"/>
        <v>4</v>
      </c>
      <c r="Q15" s="1">
        <v>1</v>
      </c>
      <c r="R15" s="4">
        <f t="shared" si="1"/>
        <v>0</v>
      </c>
    </row>
    <row r="16" spans="1:18">
      <c r="A16" s="1" t="s">
        <v>23</v>
      </c>
      <c r="B16" s="1" t="s">
        <v>24</v>
      </c>
      <c r="C16" s="1" t="s">
        <v>212</v>
      </c>
      <c r="D16" s="1" t="s">
        <v>27</v>
      </c>
      <c r="E16" s="1" t="s">
        <v>155</v>
      </c>
      <c r="F16" s="1">
        <v>1</v>
      </c>
      <c r="G16" s="1">
        <v>5</v>
      </c>
      <c r="H16" s="1">
        <v>4</v>
      </c>
      <c r="I16" s="1">
        <v>3</v>
      </c>
      <c r="J16" s="1">
        <v>5</v>
      </c>
      <c r="K16" s="1">
        <v>4</v>
      </c>
      <c r="L16" s="1">
        <v>4</v>
      </c>
      <c r="M16" s="1">
        <v>5</v>
      </c>
      <c r="N16" s="1">
        <v>3</v>
      </c>
      <c r="O16" s="1">
        <v>4</v>
      </c>
      <c r="P16">
        <f t="shared" si="0"/>
        <v>4.1111111111111107</v>
      </c>
      <c r="Q16" s="1">
        <v>1</v>
      </c>
      <c r="R16" s="4">
        <f t="shared" si="1"/>
        <v>0</v>
      </c>
    </row>
    <row r="17" spans="1:18">
      <c r="A17" s="1" t="s">
        <v>23</v>
      </c>
      <c r="B17" s="1" t="s">
        <v>24</v>
      </c>
      <c r="C17" s="1" t="s">
        <v>212</v>
      </c>
      <c r="D17" s="1" t="s">
        <v>28</v>
      </c>
      <c r="E17" s="1" t="s">
        <v>156</v>
      </c>
      <c r="F17" s="1">
        <v>2</v>
      </c>
      <c r="G17" s="1">
        <v>5</v>
      </c>
      <c r="H17" s="1">
        <v>4</v>
      </c>
      <c r="I17" s="1">
        <v>5</v>
      </c>
      <c r="J17" s="1">
        <v>3</v>
      </c>
      <c r="K17" s="1">
        <v>5</v>
      </c>
      <c r="L17" s="1">
        <v>3</v>
      </c>
      <c r="M17" s="1">
        <v>3</v>
      </c>
      <c r="N17" s="1">
        <v>5</v>
      </c>
      <c r="O17" s="1">
        <v>5</v>
      </c>
      <c r="P17">
        <f t="shared" si="0"/>
        <v>4.2222222222222223</v>
      </c>
      <c r="Q17" s="1">
        <v>2</v>
      </c>
      <c r="R17" s="4">
        <f t="shared" si="1"/>
        <v>0</v>
      </c>
    </row>
    <row r="18" spans="1:18">
      <c r="A18" s="3" t="s">
        <v>29</v>
      </c>
      <c r="B18" s="3" t="s">
        <v>30</v>
      </c>
      <c r="C18" s="3" t="s">
        <v>126</v>
      </c>
      <c r="D18" s="3" t="s">
        <v>31</v>
      </c>
      <c r="E18" s="3" t="s">
        <v>157</v>
      </c>
      <c r="F18" s="3">
        <v>1</v>
      </c>
      <c r="G18" s="3">
        <v>5</v>
      </c>
      <c r="H18" s="3">
        <v>2</v>
      </c>
      <c r="I18" s="3">
        <v>2</v>
      </c>
      <c r="J18" s="3">
        <v>4</v>
      </c>
      <c r="K18" s="3">
        <v>5</v>
      </c>
      <c r="L18" s="3">
        <v>1</v>
      </c>
      <c r="M18" s="3">
        <v>2</v>
      </c>
      <c r="N18" s="3">
        <v>2</v>
      </c>
      <c r="O18" s="3">
        <v>1</v>
      </c>
      <c r="P18" s="2">
        <f t="shared" si="0"/>
        <v>2.6666666666666665</v>
      </c>
      <c r="Q18" s="3">
        <v>1</v>
      </c>
      <c r="R18" s="7">
        <f t="shared" si="1"/>
        <v>0</v>
      </c>
    </row>
    <row r="19" spans="1:18">
      <c r="A19" s="3" t="s">
        <v>29</v>
      </c>
      <c r="B19" s="3" t="s">
        <v>30</v>
      </c>
      <c r="C19" s="3" t="s">
        <v>126</v>
      </c>
      <c r="D19" s="3" t="s">
        <v>32</v>
      </c>
      <c r="E19" s="3" t="s">
        <v>158</v>
      </c>
      <c r="F19" s="3">
        <v>0</v>
      </c>
      <c r="G19" s="3">
        <v>1</v>
      </c>
      <c r="H19" s="3">
        <v>4</v>
      </c>
      <c r="I19" s="3">
        <v>1</v>
      </c>
      <c r="J19" s="3">
        <v>3</v>
      </c>
      <c r="K19" s="3">
        <v>2</v>
      </c>
      <c r="L19" s="3">
        <v>1</v>
      </c>
      <c r="M19" s="3">
        <v>4</v>
      </c>
      <c r="N19" s="3">
        <v>3</v>
      </c>
      <c r="O19" s="3">
        <v>1</v>
      </c>
      <c r="P19" s="2">
        <f t="shared" si="0"/>
        <v>2.2222222222222223</v>
      </c>
      <c r="Q19" s="3">
        <v>0</v>
      </c>
      <c r="R19" s="7">
        <f t="shared" si="1"/>
        <v>0</v>
      </c>
    </row>
    <row r="20" spans="1:18">
      <c r="A20" s="3" t="s">
        <v>29</v>
      </c>
      <c r="B20" s="3" t="s">
        <v>30</v>
      </c>
      <c r="C20" s="3" t="s">
        <v>126</v>
      </c>
      <c r="D20" s="3" t="s">
        <v>33</v>
      </c>
      <c r="E20" s="3" t="s">
        <v>159</v>
      </c>
      <c r="F20" s="3">
        <v>2</v>
      </c>
      <c r="G20" s="3">
        <v>5</v>
      </c>
      <c r="H20" s="3">
        <v>4</v>
      </c>
      <c r="I20" s="3">
        <v>5</v>
      </c>
      <c r="J20" s="3">
        <v>5</v>
      </c>
      <c r="K20" s="3">
        <v>4</v>
      </c>
      <c r="L20" s="3">
        <v>4</v>
      </c>
      <c r="M20" s="3">
        <v>5</v>
      </c>
      <c r="N20" s="3">
        <v>4</v>
      </c>
      <c r="O20" s="3">
        <v>5</v>
      </c>
      <c r="P20" s="2">
        <f t="shared" si="0"/>
        <v>4.5555555555555554</v>
      </c>
      <c r="Q20" s="3">
        <v>2</v>
      </c>
      <c r="R20" s="7">
        <f t="shared" si="1"/>
        <v>0</v>
      </c>
    </row>
    <row r="21" spans="1:18">
      <c r="A21" s="3" t="s">
        <v>29</v>
      </c>
      <c r="B21" s="3" t="s">
        <v>30</v>
      </c>
      <c r="C21" s="3" t="s">
        <v>126</v>
      </c>
      <c r="D21" s="3" t="s">
        <v>34</v>
      </c>
      <c r="E21" s="3" t="s">
        <v>160</v>
      </c>
      <c r="F21" s="3">
        <v>1</v>
      </c>
      <c r="G21" s="3">
        <v>5</v>
      </c>
      <c r="H21" s="3">
        <v>4</v>
      </c>
      <c r="I21" s="3">
        <v>5</v>
      </c>
      <c r="J21" s="3">
        <v>3</v>
      </c>
      <c r="K21" s="3">
        <v>4</v>
      </c>
      <c r="L21" s="3">
        <v>4</v>
      </c>
      <c r="M21" s="3">
        <v>4</v>
      </c>
      <c r="N21" s="3">
        <v>3</v>
      </c>
      <c r="O21" s="3">
        <v>4</v>
      </c>
      <c r="P21" s="2">
        <f t="shared" si="0"/>
        <v>4</v>
      </c>
      <c r="Q21" s="3">
        <v>1</v>
      </c>
      <c r="R21" s="7">
        <f t="shared" si="1"/>
        <v>0</v>
      </c>
    </row>
    <row r="22" spans="1:18">
      <c r="A22" s="1" t="s">
        <v>35</v>
      </c>
      <c r="B22" s="1" t="s">
        <v>36</v>
      </c>
      <c r="C22" s="1" t="s">
        <v>213</v>
      </c>
      <c r="D22" s="1" t="s">
        <v>37</v>
      </c>
      <c r="E22" s="1" t="s">
        <v>161</v>
      </c>
      <c r="F22" s="1">
        <v>1</v>
      </c>
      <c r="G22" s="1">
        <v>1</v>
      </c>
      <c r="H22" s="1">
        <v>4</v>
      </c>
      <c r="I22" s="1">
        <v>2</v>
      </c>
      <c r="J22" s="1">
        <v>5</v>
      </c>
      <c r="K22" s="1">
        <v>2</v>
      </c>
      <c r="L22" s="1">
        <v>1</v>
      </c>
      <c r="M22" s="1">
        <v>1</v>
      </c>
      <c r="N22" s="1">
        <v>1</v>
      </c>
      <c r="O22" s="1">
        <v>1</v>
      </c>
      <c r="P22">
        <f t="shared" si="0"/>
        <v>2</v>
      </c>
      <c r="Q22" s="1">
        <v>1</v>
      </c>
      <c r="R22" s="4">
        <f t="shared" si="1"/>
        <v>0</v>
      </c>
    </row>
    <row r="23" spans="1:18">
      <c r="A23" s="1" t="s">
        <v>35</v>
      </c>
      <c r="B23" s="1" t="s">
        <v>36</v>
      </c>
      <c r="C23" s="1" t="s">
        <v>213</v>
      </c>
      <c r="D23" s="1" t="s">
        <v>38</v>
      </c>
      <c r="E23" s="1" t="s">
        <v>162</v>
      </c>
      <c r="F23" s="1">
        <v>0</v>
      </c>
      <c r="G23" s="1">
        <v>1</v>
      </c>
      <c r="H23" s="1">
        <v>2</v>
      </c>
      <c r="I23" s="1">
        <v>1</v>
      </c>
      <c r="J23" s="1">
        <v>3</v>
      </c>
      <c r="K23" s="1">
        <v>1</v>
      </c>
      <c r="L23" s="1">
        <v>1</v>
      </c>
      <c r="M23" s="1">
        <v>1</v>
      </c>
      <c r="N23" s="1">
        <v>1</v>
      </c>
      <c r="O23" s="1">
        <v>1</v>
      </c>
      <c r="P23">
        <f t="shared" si="0"/>
        <v>1.3333333333333333</v>
      </c>
      <c r="Q23" s="1">
        <v>0</v>
      </c>
      <c r="R23" s="4">
        <f t="shared" si="1"/>
        <v>0</v>
      </c>
    </row>
    <row r="24" spans="1:18">
      <c r="A24" s="1" t="s">
        <v>35</v>
      </c>
      <c r="B24" s="1" t="s">
        <v>36</v>
      </c>
      <c r="C24" s="1" t="s">
        <v>213</v>
      </c>
      <c r="D24" s="1" t="s">
        <v>39</v>
      </c>
      <c r="E24" s="1" t="s">
        <v>163</v>
      </c>
      <c r="F24" s="1">
        <v>1</v>
      </c>
      <c r="G24" s="1">
        <v>4</v>
      </c>
      <c r="H24" s="1">
        <v>4</v>
      </c>
      <c r="I24" s="1">
        <v>1</v>
      </c>
      <c r="J24" s="1">
        <v>3</v>
      </c>
      <c r="K24" s="1">
        <v>3</v>
      </c>
      <c r="L24" s="1">
        <v>3</v>
      </c>
      <c r="M24" s="1">
        <v>2</v>
      </c>
      <c r="N24" s="1">
        <v>3</v>
      </c>
      <c r="O24" s="1">
        <v>1</v>
      </c>
      <c r="P24">
        <f t="shared" si="0"/>
        <v>2.6666666666666665</v>
      </c>
      <c r="Q24" s="1">
        <v>1</v>
      </c>
      <c r="R24" s="4">
        <f t="shared" si="1"/>
        <v>0</v>
      </c>
    </row>
    <row r="25" spans="1:18">
      <c r="A25" s="1" t="s">
        <v>35</v>
      </c>
      <c r="B25" s="1" t="s">
        <v>36</v>
      </c>
      <c r="C25" s="1" t="s">
        <v>213</v>
      </c>
      <c r="D25" s="1" t="s">
        <v>40</v>
      </c>
      <c r="E25" s="1" t="s">
        <v>164</v>
      </c>
      <c r="F25" s="1">
        <v>2</v>
      </c>
      <c r="G25" s="1">
        <v>5</v>
      </c>
      <c r="H25" s="1">
        <v>4</v>
      </c>
      <c r="I25" s="1">
        <v>5</v>
      </c>
      <c r="J25" s="1">
        <v>5</v>
      </c>
      <c r="K25" s="1">
        <v>5</v>
      </c>
      <c r="L25" s="1">
        <v>4</v>
      </c>
      <c r="M25" s="1">
        <v>5</v>
      </c>
      <c r="N25" s="1">
        <v>4</v>
      </c>
      <c r="O25" s="1">
        <v>5</v>
      </c>
      <c r="P25">
        <f t="shared" si="0"/>
        <v>4.666666666666667</v>
      </c>
      <c r="Q25" s="1">
        <v>2</v>
      </c>
      <c r="R25" s="4">
        <f t="shared" si="1"/>
        <v>0</v>
      </c>
    </row>
    <row r="26" spans="1:18">
      <c r="A26" s="3" t="s">
        <v>41</v>
      </c>
      <c r="B26" s="3" t="s">
        <v>42</v>
      </c>
      <c r="C26" s="3" t="s">
        <v>127</v>
      </c>
      <c r="D26" s="3" t="s">
        <v>43</v>
      </c>
      <c r="E26" s="3" t="s">
        <v>165</v>
      </c>
      <c r="F26" s="3">
        <v>1</v>
      </c>
      <c r="G26" s="3">
        <v>5</v>
      </c>
      <c r="H26" s="3">
        <v>5</v>
      </c>
      <c r="I26" s="3">
        <v>5</v>
      </c>
      <c r="J26" s="3">
        <v>4</v>
      </c>
      <c r="K26" s="3">
        <v>4</v>
      </c>
      <c r="L26" s="3">
        <v>4</v>
      </c>
      <c r="M26" s="3">
        <v>5</v>
      </c>
      <c r="N26" s="3">
        <v>3</v>
      </c>
      <c r="O26" s="3">
        <v>4</v>
      </c>
      <c r="P26" s="2">
        <f t="shared" si="0"/>
        <v>4.333333333333333</v>
      </c>
      <c r="Q26" s="3">
        <v>2</v>
      </c>
      <c r="R26" s="6">
        <f t="shared" si="1"/>
        <v>-1</v>
      </c>
    </row>
    <row r="27" spans="1:18">
      <c r="A27" s="3" t="s">
        <v>41</v>
      </c>
      <c r="B27" s="3" t="s">
        <v>42</v>
      </c>
      <c r="C27" s="3" t="s">
        <v>127</v>
      </c>
      <c r="D27" s="3" t="s">
        <v>44</v>
      </c>
      <c r="E27" s="3" t="s">
        <v>167</v>
      </c>
      <c r="F27" s="3">
        <v>0</v>
      </c>
      <c r="G27" s="3">
        <v>1</v>
      </c>
      <c r="H27" s="3">
        <v>4</v>
      </c>
      <c r="I27" s="3">
        <v>1</v>
      </c>
      <c r="J27" s="3">
        <v>3</v>
      </c>
      <c r="K27" s="3">
        <v>2</v>
      </c>
      <c r="L27" s="3">
        <v>1</v>
      </c>
      <c r="M27" s="3">
        <v>1</v>
      </c>
      <c r="N27" s="3">
        <v>1</v>
      </c>
      <c r="O27" s="3">
        <v>1</v>
      </c>
      <c r="P27" s="2">
        <f t="shared" si="0"/>
        <v>1.6666666666666667</v>
      </c>
      <c r="Q27" s="3">
        <v>0</v>
      </c>
      <c r="R27" s="7">
        <f t="shared" si="1"/>
        <v>0</v>
      </c>
    </row>
    <row r="28" spans="1:18">
      <c r="A28" s="3" t="s">
        <v>41</v>
      </c>
      <c r="B28" s="3" t="s">
        <v>42</v>
      </c>
      <c r="C28" s="3" t="s">
        <v>127</v>
      </c>
      <c r="D28" s="3" t="s">
        <v>45</v>
      </c>
      <c r="E28" s="3" t="s">
        <v>166</v>
      </c>
      <c r="F28" s="3">
        <v>1</v>
      </c>
      <c r="G28" s="3">
        <v>5</v>
      </c>
      <c r="H28" s="3">
        <v>4</v>
      </c>
      <c r="I28" s="3">
        <v>5</v>
      </c>
      <c r="J28" s="3">
        <v>5</v>
      </c>
      <c r="K28" s="3">
        <v>3</v>
      </c>
      <c r="L28" s="3">
        <v>3</v>
      </c>
      <c r="M28" s="3">
        <v>3</v>
      </c>
      <c r="N28" s="3">
        <v>4</v>
      </c>
      <c r="O28" s="3">
        <v>5</v>
      </c>
      <c r="P28" s="2">
        <f t="shared" si="0"/>
        <v>4.1111111111111107</v>
      </c>
      <c r="Q28" s="3">
        <v>1</v>
      </c>
      <c r="R28" s="7">
        <f t="shared" si="1"/>
        <v>0</v>
      </c>
    </row>
    <row r="29" spans="1:18">
      <c r="A29" s="3" t="s">
        <v>41</v>
      </c>
      <c r="B29" s="3" t="s">
        <v>42</v>
      </c>
      <c r="C29" s="3" t="s">
        <v>127</v>
      </c>
      <c r="D29" s="3" t="s">
        <v>46</v>
      </c>
      <c r="E29" s="3" t="s">
        <v>168</v>
      </c>
      <c r="F29" s="3">
        <v>2</v>
      </c>
      <c r="G29" s="3">
        <v>5</v>
      </c>
      <c r="H29" s="3">
        <v>4</v>
      </c>
      <c r="I29" s="3">
        <v>2</v>
      </c>
      <c r="J29" s="3">
        <v>5</v>
      </c>
      <c r="K29" s="3">
        <v>4</v>
      </c>
      <c r="L29" s="3">
        <v>1</v>
      </c>
      <c r="M29" s="3">
        <v>5</v>
      </c>
      <c r="N29" s="3">
        <v>3</v>
      </c>
      <c r="O29" s="3">
        <v>5</v>
      </c>
      <c r="P29" s="2">
        <f t="shared" si="0"/>
        <v>3.7777777777777777</v>
      </c>
      <c r="Q29" s="3">
        <v>1</v>
      </c>
      <c r="R29" s="8">
        <f t="shared" si="1"/>
        <v>1</v>
      </c>
    </row>
    <row r="30" spans="1:18">
      <c r="A30" s="1" t="s">
        <v>47</v>
      </c>
      <c r="B30" s="1" t="s">
        <v>48</v>
      </c>
      <c r="C30" s="1" t="s">
        <v>128</v>
      </c>
      <c r="D30" s="1" t="s">
        <v>49</v>
      </c>
      <c r="E30" s="1" t="s">
        <v>169</v>
      </c>
      <c r="F30" s="1">
        <v>2</v>
      </c>
      <c r="G30" s="1">
        <v>5</v>
      </c>
      <c r="H30" s="1">
        <v>4</v>
      </c>
      <c r="I30" s="1">
        <v>5</v>
      </c>
      <c r="J30" s="1">
        <v>5</v>
      </c>
      <c r="K30" s="1">
        <v>5</v>
      </c>
      <c r="L30" s="1">
        <v>5</v>
      </c>
      <c r="M30" s="1">
        <v>4</v>
      </c>
      <c r="N30" s="1">
        <v>2</v>
      </c>
      <c r="O30" s="1">
        <v>5</v>
      </c>
      <c r="P30">
        <f t="shared" si="0"/>
        <v>4.4444444444444446</v>
      </c>
      <c r="Q30" s="1">
        <v>2</v>
      </c>
      <c r="R30" s="4">
        <f t="shared" si="1"/>
        <v>0</v>
      </c>
    </row>
    <row r="31" spans="1:18">
      <c r="A31" s="1" t="s">
        <v>47</v>
      </c>
      <c r="B31" s="1" t="s">
        <v>48</v>
      </c>
      <c r="C31" s="1" t="s">
        <v>128</v>
      </c>
      <c r="D31" s="1" t="s">
        <v>50</v>
      </c>
      <c r="E31" s="1" t="s">
        <v>170</v>
      </c>
      <c r="F31" s="1">
        <v>1</v>
      </c>
      <c r="G31" s="1">
        <v>5</v>
      </c>
      <c r="H31" s="1">
        <v>4</v>
      </c>
      <c r="I31" s="1">
        <v>5</v>
      </c>
      <c r="J31" s="1">
        <v>4</v>
      </c>
      <c r="K31" s="1">
        <v>5</v>
      </c>
      <c r="L31" s="1">
        <v>3</v>
      </c>
      <c r="M31" s="1">
        <v>4</v>
      </c>
      <c r="N31" s="1">
        <v>2</v>
      </c>
      <c r="O31" s="1">
        <v>5</v>
      </c>
      <c r="P31">
        <f t="shared" si="0"/>
        <v>4.1111111111111107</v>
      </c>
      <c r="Q31" s="1">
        <v>1</v>
      </c>
      <c r="R31" s="4">
        <f t="shared" si="1"/>
        <v>0</v>
      </c>
    </row>
    <row r="32" spans="1:18">
      <c r="A32" s="1" t="s">
        <v>47</v>
      </c>
      <c r="B32" s="1" t="s">
        <v>48</v>
      </c>
      <c r="C32" s="1" t="s">
        <v>128</v>
      </c>
      <c r="D32" s="1" t="s">
        <v>51</v>
      </c>
      <c r="E32" s="1" t="s">
        <v>171</v>
      </c>
      <c r="F32" s="1">
        <v>1</v>
      </c>
      <c r="G32" s="1">
        <v>1</v>
      </c>
      <c r="H32" s="1">
        <v>4</v>
      </c>
      <c r="I32" s="1">
        <v>5</v>
      </c>
      <c r="J32" s="1">
        <v>5</v>
      </c>
      <c r="K32" s="1">
        <v>3</v>
      </c>
      <c r="L32" s="1">
        <v>2</v>
      </c>
      <c r="M32" s="1">
        <v>4</v>
      </c>
      <c r="N32" s="1">
        <v>2</v>
      </c>
      <c r="O32" s="1">
        <v>5</v>
      </c>
      <c r="P32">
        <f t="shared" si="0"/>
        <v>3.4444444444444446</v>
      </c>
      <c r="Q32" s="1">
        <v>1</v>
      </c>
      <c r="R32" s="4">
        <f t="shared" si="1"/>
        <v>0</v>
      </c>
    </row>
    <row r="33" spans="1:18">
      <c r="A33" s="1" t="s">
        <v>47</v>
      </c>
      <c r="B33" s="1" t="s">
        <v>48</v>
      </c>
      <c r="C33" s="1" t="s">
        <v>128</v>
      </c>
      <c r="D33" s="1" t="s">
        <v>52</v>
      </c>
      <c r="E33" s="1" t="s">
        <v>172</v>
      </c>
      <c r="F33" s="1">
        <v>0</v>
      </c>
      <c r="G33" s="1">
        <v>1</v>
      </c>
      <c r="H33" s="1">
        <v>3</v>
      </c>
      <c r="I33" s="1">
        <v>1</v>
      </c>
      <c r="J33" s="1">
        <v>3</v>
      </c>
      <c r="K33" s="1">
        <v>1</v>
      </c>
      <c r="L33" s="1">
        <v>1</v>
      </c>
      <c r="M33" s="1">
        <v>1</v>
      </c>
      <c r="N33" s="1">
        <v>1</v>
      </c>
      <c r="O33" s="1">
        <v>1</v>
      </c>
      <c r="P33">
        <f t="shared" si="0"/>
        <v>1.4444444444444444</v>
      </c>
      <c r="Q33" s="1">
        <v>0</v>
      </c>
      <c r="R33" s="4">
        <f t="shared" si="1"/>
        <v>0</v>
      </c>
    </row>
    <row r="34" spans="1:18">
      <c r="A34" s="3" t="s">
        <v>53</v>
      </c>
      <c r="B34" s="3" t="s">
        <v>54</v>
      </c>
      <c r="C34" s="3" t="s">
        <v>129</v>
      </c>
      <c r="D34" s="3" t="s">
        <v>55</v>
      </c>
      <c r="E34" s="3" t="s">
        <v>173</v>
      </c>
      <c r="F34" s="3">
        <v>1</v>
      </c>
      <c r="G34" s="3">
        <v>5</v>
      </c>
      <c r="H34" s="3">
        <v>4</v>
      </c>
      <c r="I34" s="3">
        <v>3</v>
      </c>
      <c r="J34" s="3">
        <v>5</v>
      </c>
      <c r="K34" s="3">
        <v>3</v>
      </c>
      <c r="L34" s="3">
        <v>5</v>
      </c>
      <c r="M34" s="3">
        <v>5</v>
      </c>
      <c r="N34" s="3">
        <v>4</v>
      </c>
      <c r="O34" s="3">
        <v>5</v>
      </c>
      <c r="P34" s="2">
        <f t="shared" si="0"/>
        <v>4.333333333333333</v>
      </c>
      <c r="Q34" s="3">
        <v>1</v>
      </c>
      <c r="R34" s="7">
        <f t="shared" si="1"/>
        <v>0</v>
      </c>
    </row>
    <row r="35" spans="1:18">
      <c r="A35" s="3" t="s">
        <v>53</v>
      </c>
      <c r="B35" s="3" t="s">
        <v>54</v>
      </c>
      <c r="C35" s="3" t="s">
        <v>129</v>
      </c>
      <c r="D35" s="3" t="s">
        <v>56</v>
      </c>
      <c r="E35" s="3" t="s">
        <v>174</v>
      </c>
      <c r="F35" s="3">
        <v>1</v>
      </c>
      <c r="G35" s="3">
        <v>5</v>
      </c>
      <c r="H35" s="3">
        <v>5</v>
      </c>
      <c r="I35" s="3">
        <v>2</v>
      </c>
      <c r="J35" s="3">
        <v>4</v>
      </c>
      <c r="K35" s="3">
        <v>3</v>
      </c>
      <c r="L35" s="3">
        <v>5</v>
      </c>
      <c r="M35" s="3">
        <v>5</v>
      </c>
      <c r="N35" s="3">
        <v>4</v>
      </c>
      <c r="O35" s="3">
        <v>4</v>
      </c>
      <c r="P35" s="2">
        <f t="shared" ref="P35:P73" si="2">AVERAGE(G35:O35)</f>
        <v>4.1111111111111107</v>
      </c>
      <c r="Q35" s="3">
        <v>1</v>
      </c>
      <c r="R35" s="7">
        <f t="shared" ref="R35:R73" si="3">F35-Q35</f>
        <v>0</v>
      </c>
    </row>
    <row r="36" spans="1:18">
      <c r="A36" s="3" t="s">
        <v>53</v>
      </c>
      <c r="B36" s="3" t="s">
        <v>54</v>
      </c>
      <c r="C36" s="3" t="s">
        <v>129</v>
      </c>
      <c r="D36" s="3" t="s">
        <v>57</v>
      </c>
      <c r="E36" s="3" t="s">
        <v>175</v>
      </c>
      <c r="F36" s="3">
        <v>0</v>
      </c>
      <c r="G36" s="3">
        <v>5</v>
      </c>
      <c r="H36" s="3">
        <v>3</v>
      </c>
      <c r="I36" s="3">
        <v>2</v>
      </c>
      <c r="J36" s="3">
        <v>4</v>
      </c>
      <c r="K36" s="3">
        <v>2</v>
      </c>
      <c r="L36" s="3">
        <v>3</v>
      </c>
      <c r="M36" s="3">
        <v>1</v>
      </c>
      <c r="N36" s="3">
        <v>3</v>
      </c>
      <c r="O36" s="3">
        <v>2</v>
      </c>
      <c r="P36" s="2">
        <f t="shared" si="2"/>
        <v>2.7777777777777777</v>
      </c>
      <c r="Q36" s="3">
        <v>0</v>
      </c>
      <c r="R36" s="7">
        <f t="shared" si="3"/>
        <v>0</v>
      </c>
    </row>
    <row r="37" spans="1:18">
      <c r="A37" s="3" t="s">
        <v>53</v>
      </c>
      <c r="B37" s="3" t="s">
        <v>54</v>
      </c>
      <c r="C37" s="3" t="s">
        <v>129</v>
      </c>
      <c r="D37" s="3" t="s">
        <v>58</v>
      </c>
      <c r="E37" s="3" t="s">
        <v>176</v>
      </c>
      <c r="F37" s="3">
        <v>2</v>
      </c>
      <c r="G37" s="3">
        <v>5</v>
      </c>
      <c r="H37" s="3">
        <v>4</v>
      </c>
      <c r="I37" s="3">
        <v>5</v>
      </c>
      <c r="J37" s="3">
        <v>5</v>
      </c>
      <c r="K37" s="3">
        <v>5</v>
      </c>
      <c r="L37" s="3">
        <v>4</v>
      </c>
      <c r="M37" s="3">
        <v>5</v>
      </c>
      <c r="N37" s="3">
        <v>4</v>
      </c>
      <c r="O37" s="3">
        <v>5</v>
      </c>
      <c r="P37" s="2">
        <f t="shared" si="2"/>
        <v>4.666666666666667</v>
      </c>
      <c r="Q37" s="3">
        <v>2</v>
      </c>
      <c r="R37" s="7">
        <f t="shared" si="3"/>
        <v>0</v>
      </c>
    </row>
    <row r="38" spans="1:18">
      <c r="A38" s="1" t="s">
        <v>59</v>
      </c>
      <c r="B38" s="1" t="s">
        <v>60</v>
      </c>
      <c r="C38" s="1" t="s">
        <v>130</v>
      </c>
      <c r="D38" s="1" t="s">
        <v>61</v>
      </c>
      <c r="E38" s="1" t="s">
        <v>177</v>
      </c>
      <c r="F38" s="1">
        <v>2</v>
      </c>
      <c r="G38" s="1">
        <v>5</v>
      </c>
      <c r="H38" s="1">
        <v>5</v>
      </c>
      <c r="I38" s="1">
        <v>5</v>
      </c>
      <c r="J38" s="1">
        <v>5</v>
      </c>
      <c r="K38" s="1">
        <v>5</v>
      </c>
      <c r="L38" s="1">
        <v>3</v>
      </c>
      <c r="M38" s="1">
        <v>5</v>
      </c>
      <c r="N38" s="1">
        <v>4</v>
      </c>
      <c r="O38" s="1">
        <v>5</v>
      </c>
      <c r="P38">
        <f t="shared" si="2"/>
        <v>4.666666666666667</v>
      </c>
      <c r="Q38" s="1">
        <v>2</v>
      </c>
      <c r="R38" s="4">
        <f t="shared" si="3"/>
        <v>0</v>
      </c>
    </row>
    <row r="39" spans="1:18">
      <c r="A39" s="1" t="s">
        <v>59</v>
      </c>
      <c r="B39" s="1" t="s">
        <v>60</v>
      </c>
      <c r="C39" s="1" t="s">
        <v>130</v>
      </c>
      <c r="D39" s="1" t="s">
        <v>62</v>
      </c>
      <c r="E39" s="1" t="s">
        <v>178</v>
      </c>
      <c r="F39" s="1">
        <v>1</v>
      </c>
      <c r="G39" s="1">
        <v>3</v>
      </c>
      <c r="H39" s="1">
        <v>5</v>
      </c>
      <c r="I39" s="1">
        <v>2</v>
      </c>
      <c r="J39" s="1">
        <v>5</v>
      </c>
      <c r="K39" s="1">
        <v>3</v>
      </c>
      <c r="L39" s="1">
        <v>3</v>
      </c>
      <c r="M39" s="1">
        <v>3</v>
      </c>
      <c r="N39" s="1">
        <v>3</v>
      </c>
      <c r="O39" s="1">
        <v>3</v>
      </c>
      <c r="P39">
        <f t="shared" si="2"/>
        <v>3.3333333333333335</v>
      </c>
      <c r="Q39" s="1">
        <v>1</v>
      </c>
      <c r="R39" s="4">
        <f t="shared" si="3"/>
        <v>0</v>
      </c>
    </row>
    <row r="40" spans="1:18">
      <c r="A40" s="1" t="s">
        <v>59</v>
      </c>
      <c r="B40" s="1" t="s">
        <v>60</v>
      </c>
      <c r="C40" s="1" t="s">
        <v>130</v>
      </c>
      <c r="D40" s="1" t="s">
        <v>63</v>
      </c>
      <c r="E40" s="1" t="s">
        <v>179</v>
      </c>
      <c r="F40" s="1">
        <v>0</v>
      </c>
      <c r="G40" s="1">
        <v>1</v>
      </c>
      <c r="H40" s="1">
        <v>5</v>
      </c>
      <c r="I40" s="1">
        <v>2</v>
      </c>
      <c r="J40" s="1">
        <v>3</v>
      </c>
      <c r="K40" s="1">
        <v>2</v>
      </c>
      <c r="L40" s="1">
        <v>1</v>
      </c>
      <c r="M40" s="1">
        <v>1</v>
      </c>
      <c r="N40" s="1">
        <v>2</v>
      </c>
      <c r="O40" s="1">
        <v>2</v>
      </c>
      <c r="P40">
        <f t="shared" si="2"/>
        <v>2.1111111111111112</v>
      </c>
      <c r="Q40" s="1">
        <v>0</v>
      </c>
      <c r="R40" s="4">
        <f t="shared" si="3"/>
        <v>0</v>
      </c>
    </row>
    <row r="41" spans="1:18">
      <c r="A41" s="1" t="s">
        <v>59</v>
      </c>
      <c r="B41" s="1" t="s">
        <v>60</v>
      </c>
      <c r="C41" s="1" t="s">
        <v>130</v>
      </c>
      <c r="D41" s="1" t="s">
        <v>64</v>
      </c>
      <c r="E41" s="1" t="s">
        <v>180</v>
      </c>
      <c r="F41" s="1">
        <v>1</v>
      </c>
      <c r="G41" s="1">
        <v>5</v>
      </c>
      <c r="H41" s="1">
        <v>5</v>
      </c>
      <c r="I41" s="1">
        <v>3</v>
      </c>
      <c r="J41" s="1">
        <v>5</v>
      </c>
      <c r="K41" s="1">
        <v>5</v>
      </c>
      <c r="L41" s="1">
        <v>2</v>
      </c>
      <c r="M41" s="1">
        <v>5</v>
      </c>
      <c r="N41" s="1">
        <v>4</v>
      </c>
      <c r="O41" s="1">
        <v>5</v>
      </c>
      <c r="P41">
        <f t="shared" si="2"/>
        <v>4.333333333333333</v>
      </c>
      <c r="Q41" s="1">
        <v>1</v>
      </c>
      <c r="R41" s="4">
        <f t="shared" si="3"/>
        <v>0</v>
      </c>
    </row>
    <row r="42" spans="1:18">
      <c r="A42" s="3" t="s">
        <v>65</v>
      </c>
      <c r="B42" s="3" t="s">
        <v>66</v>
      </c>
      <c r="C42" s="3" t="s">
        <v>131</v>
      </c>
      <c r="D42" s="3" t="s">
        <v>67</v>
      </c>
      <c r="E42" s="3" t="s">
        <v>181</v>
      </c>
      <c r="F42" s="3">
        <v>1</v>
      </c>
      <c r="G42" s="3">
        <v>5</v>
      </c>
      <c r="H42" s="3">
        <v>5</v>
      </c>
      <c r="I42" s="3">
        <v>5</v>
      </c>
      <c r="J42" s="3">
        <v>5</v>
      </c>
      <c r="K42" s="3">
        <v>3</v>
      </c>
      <c r="L42" s="3">
        <v>4</v>
      </c>
      <c r="M42" s="3">
        <v>3</v>
      </c>
      <c r="N42" s="3">
        <v>5</v>
      </c>
      <c r="O42" s="3">
        <v>5</v>
      </c>
      <c r="P42" s="2">
        <f t="shared" si="2"/>
        <v>4.4444444444444446</v>
      </c>
      <c r="Q42" s="3">
        <v>1</v>
      </c>
      <c r="R42" s="7">
        <f t="shared" si="3"/>
        <v>0</v>
      </c>
    </row>
    <row r="43" spans="1:18">
      <c r="A43" s="3" t="s">
        <v>65</v>
      </c>
      <c r="B43" s="3" t="s">
        <v>66</v>
      </c>
      <c r="C43" s="3" t="s">
        <v>131</v>
      </c>
      <c r="D43" s="3" t="s">
        <v>68</v>
      </c>
      <c r="E43" s="3" t="s">
        <v>182</v>
      </c>
      <c r="F43" s="3">
        <v>2</v>
      </c>
      <c r="G43" s="3">
        <v>5</v>
      </c>
      <c r="H43" s="3">
        <v>5</v>
      </c>
      <c r="I43" s="3">
        <v>5</v>
      </c>
      <c r="J43" s="3">
        <v>5</v>
      </c>
      <c r="K43" s="3">
        <v>5</v>
      </c>
      <c r="L43" s="3">
        <v>5</v>
      </c>
      <c r="M43" s="3">
        <v>5</v>
      </c>
      <c r="N43" s="3">
        <v>4</v>
      </c>
      <c r="O43" s="3">
        <v>5</v>
      </c>
      <c r="P43" s="2">
        <f t="shared" si="2"/>
        <v>4.8888888888888893</v>
      </c>
      <c r="Q43" s="3">
        <v>2</v>
      </c>
      <c r="R43" s="7">
        <f t="shared" si="3"/>
        <v>0</v>
      </c>
    </row>
    <row r="44" spans="1:18">
      <c r="A44" s="3" t="s">
        <v>65</v>
      </c>
      <c r="B44" s="3" t="s">
        <v>66</v>
      </c>
      <c r="C44" s="3" t="s">
        <v>131</v>
      </c>
      <c r="D44" s="3" t="s">
        <v>69</v>
      </c>
      <c r="E44" s="3" t="s">
        <v>183</v>
      </c>
      <c r="F44" s="3">
        <v>1</v>
      </c>
      <c r="G44" s="3">
        <v>4</v>
      </c>
      <c r="H44" s="3">
        <v>4</v>
      </c>
      <c r="I44" s="3">
        <v>3</v>
      </c>
      <c r="J44" s="3">
        <v>4</v>
      </c>
      <c r="K44" s="3">
        <v>4</v>
      </c>
      <c r="L44" s="3">
        <v>2</v>
      </c>
      <c r="M44" s="3">
        <v>1</v>
      </c>
      <c r="N44" s="3">
        <v>3</v>
      </c>
      <c r="O44" s="3">
        <v>4</v>
      </c>
      <c r="P44" s="2">
        <f t="shared" si="2"/>
        <v>3.2222222222222223</v>
      </c>
      <c r="Q44" s="3">
        <v>1</v>
      </c>
      <c r="R44" s="7">
        <f t="shared" si="3"/>
        <v>0</v>
      </c>
    </row>
    <row r="45" spans="1:18">
      <c r="A45" s="3" t="s">
        <v>65</v>
      </c>
      <c r="B45" s="3" t="s">
        <v>66</v>
      </c>
      <c r="C45" s="3" t="s">
        <v>131</v>
      </c>
      <c r="D45" s="3" t="s">
        <v>70</v>
      </c>
      <c r="E45" s="3" t="s">
        <v>184</v>
      </c>
      <c r="F45" s="3">
        <v>0</v>
      </c>
      <c r="G45" s="3">
        <v>1</v>
      </c>
      <c r="H45" s="3">
        <v>3</v>
      </c>
      <c r="I45" s="3">
        <v>2</v>
      </c>
      <c r="J45" s="3">
        <v>3</v>
      </c>
      <c r="K45" s="3">
        <v>2</v>
      </c>
      <c r="L45" s="3">
        <v>3</v>
      </c>
      <c r="M45" s="3">
        <v>1</v>
      </c>
      <c r="N45" s="3">
        <v>1</v>
      </c>
      <c r="O45" s="3">
        <v>1</v>
      </c>
      <c r="P45" s="2">
        <f t="shared" si="2"/>
        <v>1.8888888888888888</v>
      </c>
      <c r="Q45" s="3">
        <v>0</v>
      </c>
      <c r="R45" s="7">
        <f t="shared" si="3"/>
        <v>0</v>
      </c>
    </row>
    <row r="46" spans="1:18">
      <c r="A46" s="1" t="s">
        <v>71</v>
      </c>
      <c r="B46" s="1" t="s">
        <v>72</v>
      </c>
      <c r="C46" s="1" t="s">
        <v>214</v>
      </c>
      <c r="D46" s="1" t="s">
        <v>73</v>
      </c>
      <c r="E46" s="1" t="s">
        <v>185</v>
      </c>
      <c r="F46" s="1">
        <v>2</v>
      </c>
      <c r="G46" s="1">
        <v>5</v>
      </c>
      <c r="H46" s="1">
        <v>5</v>
      </c>
      <c r="I46" s="1">
        <v>3</v>
      </c>
      <c r="J46" s="1">
        <v>5</v>
      </c>
      <c r="K46" s="1">
        <v>5</v>
      </c>
      <c r="L46" s="1">
        <v>5</v>
      </c>
      <c r="M46" s="1">
        <v>5</v>
      </c>
      <c r="N46" s="1">
        <v>4</v>
      </c>
      <c r="O46" s="1">
        <v>5</v>
      </c>
      <c r="P46">
        <f t="shared" si="2"/>
        <v>4.666666666666667</v>
      </c>
      <c r="Q46" s="1">
        <v>1</v>
      </c>
      <c r="R46" s="9">
        <f t="shared" si="3"/>
        <v>1</v>
      </c>
    </row>
    <row r="47" spans="1:18">
      <c r="A47" s="1" t="s">
        <v>71</v>
      </c>
      <c r="B47" s="1" t="s">
        <v>72</v>
      </c>
      <c r="C47" s="1" t="s">
        <v>214</v>
      </c>
      <c r="D47" s="1" t="s">
        <v>74</v>
      </c>
      <c r="E47" s="1" t="s">
        <v>186</v>
      </c>
      <c r="F47" s="1">
        <v>1</v>
      </c>
      <c r="G47" s="1">
        <v>5</v>
      </c>
      <c r="H47" s="1">
        <v>5</v>
      </c>
      <c r="I47" s="1">
        <v>3</v>
      </c>
      <c r="J47" s="1">
        <v>4</v>
      </c>
      <c r="K47" s="1">
        <v>3</v>
      </c>
      <c r="L47" s="1">
        <v>5</v>
      </c>
      <c r="M47" s="1">
        <v>5</v>
      </c>
      <c r="N47" s="1">
        <v>5</v>
      </c>
      <c r="O47" s="1">
        <v>3</v>
      </c>
      <c r="P47">
        <f t="shared" si="2"/>
        <v>4.2222222222222223</v>
      </c>
      <c r="Q47" s="1">
        <v>1</v>
      </c>
      <c r="R47" s="4">
        <f t="shared" si="3"/>
        <v>0</v>
      </c>
    </row>
    <row r="48" spans="1:18">
      <c r="A48" s="1" t="s">
        <v>71</v>
      </c>
      <c r="B48" s="1" t="s">
        <v>72</v>
      </c>
      <c r="C48" s="1" t="s">
        <v>214</v>
      </c>
      <c r="D48" s="1" t="s">
        <v>75</v>
      </c>
      <c r="E48" s="1" t="s">
        <v>187</v>
      </c>
      <c r="F48" s="1">
        <v>0</v>
      </c>
      <c r="G48" s="1">
        <v>1</v>
      </c>
      <c r="H48" s="1">
        <v>3</v>
      </c>
      <c r="I48" s="1">
        <v>2</v>
      </c>
      <c r="J48" s="1">
        <v>3</v>
      </c>
      <c r="K48" s="1">
        <v>3</v>
      </c>
      <c r="L48" s="1">
        <v>1</v>
      </c>
      <c r="M48" s="1">
        <v>2</v>
      </c>
      <c r="N48" s="1">
        <v>3</v>
      </c>
      <c r="O48" s="1">
        <v>1</v>
      </c>
      <c r="P48">
        <f t="shared" si="2"/>
        <v>2.1111111111111112</v>
      </c>
      <c r="Q48" s="1">
        <v>0</v>
      </c>
      <c r="R48" s="4">
        <f t="shared" si="3"/>
        <v>0</v>
      </c>
    </row>
    <row r="49" spans="1:18">
      <c r="A49" s="1" t="s">
        <v>71</v>
      </c>
      <c r="B49" s="1" t="s">
        <v>72</v>
      </c>
      <c r="C49" s="1" t="s">
        <v>214</v>
      </c>
      <c r="D49" s="1" t="s">
        <v>76</v>
      </c>
      <c r="E49" s="1" t="s">
        <v>188</v>
      </c>
      <c r="F49" s="1">
        <v>1</v>
      </c>
      <c r="G49" s="1">
        <v>4</v>
      </c>
      <c r="H49" s="1">
        <v>5</v>
      </c>
      <c r="I49" s="1">
        <v>5</v>
      </c>
      <c r="J49" s="1">
        <v>5</v>
      </c>
      <c r="K49" s="1">
        <v>5</v>
      </c>
      <c r="L49" s="1">
        <v>5</v>
      </c>
      <c r="M49" s="1">
        <v>5</v>
      </c>
      <c r="N49" s="1">
        <v>4</v>
      </c>
      <c r="O49" s="1">
        <v>5</v>
      </c>
      <c r="P49">
        <f t="shared" si="2"/>
        <v>4.7777777777777777</v>
      </c>
      <c r="Q49" s="1">
        <v>2</v>
      </c>
      <c r="R49" s="10">
        <f t="shared" si="3"/>
        <v>-1</v>
      </c>
    </row>
    <row r="50" spans="1:18">
      <c r="A50" s="3" t="s">
        <v>77</v>
      </c>
      <c r="B50" s="3" t="s">
        <v>78</v>
      </c>
      <c r="C50" s="3" t="s">
        <v>132</v>
      </c>
      <c r="D50" s="3" t="s">
        <v>79</v>
      </c>
      <c r="E50" s="3" t="s">
        <v>189</v>
      </c>
      <c r="F50" s="3">
        <v>1</v>
      </c>
      <c r="G50" s="3">
        <v>1</v>
      </c>
      <c r="H50" s="3">
        <v>3</v>
      </c>
      <c r="I50" s="3">
        <v>2</v>
      </c>
      <c r="J50" s="3">
        <v>3</v>
      </c>
      <c r="K50" s="3">
        <v>5</v>
      </c>
      <c r="L50" s="3">
        <v>1</v>
      </c>
      <c r="M50" s="3">
        <v>1</v>
      </c>
      <c r="N50" s="3">
        <v>1</v>
      </c>
      <c r="O50" s="3">
        <v>1</v>
      </c>
      <c r="P50" s="2">
        <f t="shared" si="2"/>
        <v>2</v>
      </c>
      <c r="Q50" s="3">
        <v>1</v>
      </c>
      <c r="R50" s="7">
        <f t="shared" si="3"/>
        <v>0</v>
      </c>
    </row>
    <row r="51" spans="1:18">
      <c r="A51" s="3" t="s">
        <v>77</v>
      </c>
      <c r="B51" s="3" t="s">
        <v>78</v>
      </c>
      <c r="C51" s="3" t="s">
        <v>132</v>
      </c>
      <c r="D51" s="3" t="s">
        <v>80</v>
      </c>
      <c r="E51" s="3" t="s">
        <v>190</v>
      </c>
      <c r="F51" s="3">
        <v>0</v>
      </c>
      <c r="G51" s="3">
        <v>1</v>
      </c>
      <c r="H51" s="3">
        <v>3</v>
      </c>
      <c r="I51" s="3">
        <v>1</v>
      </c>
      <c r="J51" s="3">
        <v>5</v>
      </c>
      <c r="K51" s="3">
        <v>2</v>
      </c>
      <c r="L51" s="3">
        <v>1</v>
      </c>
      <c r="M51" s="3">
        <v>1</v>
      </c>
      <c r="N51" s="3">
        <v>1</v>
      </c>
      <c r="O51" s="3">
        <v>1</v>
      </c>
      <c r="P51" s="2">
        <f t="shared" si="2"/>
        <v>1.7777777777777777</v>
      </c>
      <c r="Q51" s="3">
        <v>0</v>
      </c>
      <c r="R51" s="7">
        <f t="shared" si="3"/>
        <v>0</v>
      </c>
    </row>
    <row r="52" spans="1:18">
      <c r="A52" s="3" t="s">
        <v>77</v>
      </c>
      <c r="B52" s="3" t="s">
        <v>78</v>
      </c>
      <c r="C52" s="3" t="s">
        <v>132</v>
      </c>
      <c r="D52" s="3" t="s">
        <v>81</v>
      </c>
      <c r="E52" s="3" t="s">
        <v>191</v>
      </c>
      <c r="F52" s="3">
        <v>2</v>
      </c>
      <c r="G52" s="3">
        <v>5</v>
      </c>
      <c r="H52" s="3">
        <v>4</v>
      </c>
      <c r="I52" s="3">
        <v>5</v>
      </c>
      <c r="J52" s="3">
        <v>4</v>
      </c>
      <c r="K52" s="3">
        <v>4</v>
      </c>
      <c r="L52" s="3">
        <v>4</v>
      </c>
      <c r="M52" s="3">
        <v>3</v>
      </c>
      <c r="N52" s="3">
        <v>5</v>
      </c>
      <c r="O52" s="3">
        <v>5</v>
      </c>
      <c r="P52" s="2">
        <f t="shared" si="2"/>
        <v>4.333333333333333</v>
      </c>
      <c r="Q52" s="3">
        <v>1</v>
      </c>
      <c r="R52" s="8">
        <f t="shared" si="3"/>
        <v>1</v>
      </c>
    </row>
    <row r="53" spans="1:18">
      <c r="A53" s="3" t="s">
        <v>77</v>
      </c>
      <c r="B53" s="3" t="s">
        <v>78</v>
      </c>
      <c r="C53" s="3" t="s">
        <v>132</v>
      </c>
      <c r="D53" s="3" t="s">
        <v>82</v>
      </c>
      <c r="E53" s="3" t="s">
        <v>192</v>
      </c>
      <c r="F53" s="3">
        <v>1</v>
      </c>
      <c r="G53" s="3">
        <v>5</v>
      </c>
      <c r="H53" s="3">
        <v>5</v>
      </c>
      <c r="I53" s="3">
        <v>5</v>
      </c>
      <c r="J53" s="3">
        <v>5</v>
      </c>
      <c r="K53" s="3">
        <v>5</v>
      </c>
      <c r="L53" s="3">
        <v>4</v>
      </c>
      <c r="M53" s="3">
        <v>4</v>
      </c>
      <c r="N53" s="3">
        <v>4</v>
      </c>
      <c r="O53" s="3">
        <v>5</v>
      </c>
      <c r="P53" s="2">
        <f t="shared" si="2"/>
        <v>4.666666666666667</v>
      </c>
      <c r="Q53" s="3">
        <v>2</v>
      </c>
      <c r="R53" s="6">
        <f t="shared" si="3"/>
        <v>-1</v>
      </c>
    </row>
    <row r="54" spans="1:18">
      <c r="A54" s="1" t="s">
        <v>83</v>
      </c>
      <c r="B54" s="1" t="s">
        <v>84</v>
      </c>
      <c r="C54" s="1" t="s">
        <v>133</v>
      </c>
      <c r="D54" s="1" t="s">
        <v>85</v>
      </c>
      <c r="E54" s="1" t="s">
        <v>193</v>
      </c>
      <c r="F54" s="1">
        <v>2</v>
      </c>
      <c r="G54" s="1">
        <v>5</v>
      </c>
      <c r="H54" s="1">
        <v>4</v>
      </c>
      <c r="I54" s="1">
        <v>5</v>
      </c>
      <c r="J54" s="1">
        <v>5</v>
      </c>
      <c r="K54" s="1">
        <v>5</v>
      </c>
      <c r="L54" s="1">
        <v>2</v>
      </c>
      <c r="M54" s="1">
        <v>5</v>
      </c>
      <c r="N54" s="1">
        <v>4</v>
      </c>
      <c r="O54" s="1">
        <v>5</v>
      </c>
      <c r="P54">
        <f t="shared" si="2"/>
        <v>4.4444444444444446</v>
      </c>
      <c r="Q54" s="1">
        <v>2</v>
      </c>
      <c r="R54" s="4">
        <f t="shared" si="3"/>
        <v>0</v>
      </c>
    </row>
    <row r="55" spans="1:18">
      <c r="A55" s="1" t="s">
        <v>83</v>
      </c>
      <c r="B55" s="1" t="s">
        <v>84</v>
      </c>
      <c r="C55" s="1" t="s">
        <v>133</v>
      </c>
      <c r="D55" s="1" t="s">
        <v>86</v>
      </c>
      <c r="E55" s="1" t="s">
        <v>194</v>
      </c>
      <c r="F55" s="1">
        <v>1</v>
      </c>
      <c r="G55" s="1">
        <v>1</v>
      </c>
      <c r="H55" s="1">
        <v>3</v>
      </c>
      <c r="I55" s="1">
        <v>2</v>
      </c>
      <c r="J55" s="1">
        <v>3</v>
      </c>
      <c r="K55" s="1">
        <v>3</v>
      </c>
      <c r="L55" s="1">
        <v>1</v>
      </c>
      <c r="M55" s="1">
        <v>1</v>
      </c>
      <c r="N55" s="1">
        <v>3</v>
      </c>
      <c r="O55" s="1">
        <v>3</v>
      </c>
      <c r="P55">
        <f t="shared" si="2"/>
        <v>2.2222222222222223</v>
      </c>
      <c r="Q55" s="1">
        <v>1</v>
      </c>
      <c r="R55" s="4">
        <f t="shared" si="3"/>
        <v>0</v>
      </c>
    </row>
    <row r="56" spans="1:18">
      <c r="A56" s="1" t="s">
        <v>83</v>
      </c>
      <c r="B56" s="1" t="s">
        <v>84</v>
      </c>
      <c r="C56" s="1" t="s">
        <v>133</v>
      </c>
      <c r="D56" s="1" t="s">
        <v>87</v>
      </c>
      <c r="E56" s="1" t="s">
        <v>195</v>
      </c>
      <c r="F56" s="1">
        <v>0</v>
      </c>
      <c r="G56" s="1">
        <v>1</v>
      </c>
      <c r="H56" s="1">
        <v>3</v>
      </c>
      <c r="I56" s="1">
        <v>2</v>
      </c>
      <c r="J56" s="1">
        <v>4</v>
      </c>
      <c r="K56" s="1">
        <v>2</v>
      </c>
      <c r="L56" s="1">
        <v>1</v>
      </c>
      <c r="M56" s="1">
        <v>2</v>
      </c>
      <c r="N56" s="1">
        <v>1</v>
      </c>
      <c r="O56" s="1">
        <v>1</v>
      </c>
      <c r="P56">
        <f t="shared" si="2"/>
        <v>1.8888888888888888</v>
      </c>
      <c r="Q56" s="1">
        <v>0</v>
      </c>
      <c r="R56" s="4">
        <f t="shared" si="3"/>
        <v>0</v>
      </c>
    </row>
    <row r="57" spans="1:18">
      <c r="A57" s="1" t="s">
        <v>83</v>
      </c>
      <c r="B57" s="1" t="s">
        <v>84</v>
      </c>
      <c r="C57" s="1" t="s">
        <v>133</v>
      </c>
      <c r="D57" s="1" t="s">
        <v>88</v>
      </c>
      <c r="E57" s="1" t="s">
        <v>196</v>
      </c>
      <c r="F57" s="1">
        <v>1</v>
      </c>
      <c r="G57" s="1">
        <v>4</v>
      </c>
      <c r="H57" s="1">
        <v>3</v>
      </c>
      <c r="I57" s="1">
        <v>3</v>
      </c>
      <c r="J57" s="1">
        <v>5</v>
      </c>
      <c r="K57" s="1">
        <v>5</v>
      </c>
      <c r="L57" s="1">
        <v>3</v>
      </c>
      <c r="M57" s="1">
        <v>3</v>
      </c>
      <c r="N57" s="1">
        <v>5</v>
      </c>
      <c r="O57" s="1">
        <v>5</v>
      </c>
      <c r="P57">
        <f t="shared" si="2"/>
        <v>4</v>
      </c>
      <c r="Q57" s="1">
        <v>1</v>
      </c>
      <c r="R57" s="4">
        <f t="shared" si="3"/>
        <v>0</v>
      </c>
    </row>
    <row r="58" spans="1:18">
      <c r="A58" s="3" t="s">
        <v>89</v>
      </c>
      <c r="B58" s="3" t="s">
        <v>90</v>
      </c>
      <c r="C58" s="3" t="s">
        <v>134</v>
      </c>
      <c r="D58" s="3" t="s">
        <v>91</v>
      </c>
      <c r="E58" s="3" t="s">
        <v>197</v>
      </c>
      <c r="F58" s="3">
        <v>1</v>
      </c>
      <c r="G58" s="3">
        <v>4</v>
      </c>
      <c r="H58" s="3">
        <v>4</v>
      </c>
      <c r="I58" s="3">
        <v>2</v>
      </c>
      <c r="J58" s="3">
        <v>4</v>
      </c>
      <c r="K58" s="3">
        <v>4</v>
      </c>
      <c r="L58" s="3">
        <v>4</v>
      </c>
      <c r="M58" s="3">
        <v>5</v>
      </c>
      <c r="N58" s="3">
        <v>4</v>
      </c>
      <c r="O58" s="3">
        <v>3</v>
      </c>
      <c r="P58" s="2">
        <f t="shared" si="2"/>
        <v>3.7777777777777777</v>
      </c>
      <c r="Q58" s="3">
        <v>1</v>
      </c>
      <c r="R58" s="7">
        <f t="shared" si="3"/>
        <v>0</v>
      </c>
    </row>
    <row r="59" spans="1:18">
      <c r="A59" s="3" t="s">
        <v>89</v>
      </c>
      <c r="B59" s="3" t="s">
        <v>90</v>
      </c>
      <c r="C59" s="3" t="s">
        <v>134</v>
      </c>
      <c r="D59" s="3" t="s">
        <v>92</v>
      </c>
      <c r="E59" s="3" t="s">
        <v>198</v>
      </c>
      <c r="F59" s="3">
        <v>1</v>
      </c>
      <c r="G59" s="3">
        <v>5</v>
      </c>
      <c r="H59" s="3">
        <v>4</v>
      </c>
      <c r="I59" s="3">
        <v>5</v>
      </c>
      <c r="J59" s="3">
        <v>5</v>
      </c>
      <c r="K59" s="3">
        <v>5</v>
      </c>
      <c r="L59" s="3">
        <v>4</v>
      </c>
      <c r="M59" s="3">
        <v>5</v>
      </c>
      <c r="N59" s="3">
        <v>4</v>
      </c>
      <c r="O59" s="3">
        <v>5</v>
      </c>
      <c r="P59" s="2">
        <f t="shared" si="2"/>
        <v>4.666666666666667</v>
      </c>
      <c r="Q59" s="3">
        <v>2</v>
      </c>
      <c r="R59" s="6">
        <f t="shared" si="3"/>
        <v>-1</v>
      </c>
    </row>
    <row r="60" spans="1:18">
      <c r="A60" s="3" t="s">
        <v>89</v>
      </c>
      <c r="B60" s="3" t="s">
        <v>90</v>
      </c>
      <c r="C60" s="3" t="s">
        <v>134</v>
      </c>
      <c r="D60" s="3" t="s">
        <v>93</v>
      </c>
      <c r="E60" s="3" t="s">
        <v>199</v>
      </c>
      <c r="F60" s="3">
        <v>2</v>
      </c>
      <c r="G60" s="3">
        <v>5</v>
      </c>
      <c r="H60" s="3">
        <v>5</v>
      </c>
      <c r="I60" s="3">
        <v>5</v>
      </c>
      <c r="J60" s="3">
        <v>5</v>
      </c>
      <c r="K60" s="3">
        <v>4</v>
      </c>
      <c r="L60" s="3">
        <v>4</v>
      </c>
      <c r="M60" s="3">
        <v>5</v>
      </c>
      <c r="N60" s="3">
        <v>4</v>
      </c>
      <c r="O60" s="3">
        <v>5</v>
      </c>
      <c r="P60" s="2">
        <f t="shared" si="2"/>
        <v>4.666666666666667</v>
      </c>
      <c r="Q60" s="3">
        <v>2</v>
      </c>
      <c r="R60" s="7">
        <f t="shared" si="3"/>
        <v>0</v>
      </c>
    </row>
    <row r="61" spans="1:18">
      <c r="A61" s="3" t="s">
        <v>89</v>
      </c>
      <c r="B61" s="3" t="s">
        <v>90</v>
      </c>
      <c r="C61" s="3" t="s">
        <v>134</v>
      </c>
      <c r="D61" s="3" t="s">
        <v>94</v>
      </c>
      <c r="E61" s="3" t="s">
        <v>200</v>
      </c>
      <c r="F61" s="3">
        <v>0</v>
      </c>
      <c r="G61" s="3">
        <v>1</v>
      </c>
      <c r="H61" s="3">
        <v>2</v>
      </c>
      <c r="I61" s="3">
        <v>1</v>
      </c>
      <c r="J61" s="3">
        <v>3</v>
      </c>
      <c r="K61" s="3">
        <v>2</v>
      </c>
      <c r="L61" s="3">
        <v>1</v>
      </c>
      <c r="M61" s="3">
        <v>1</v>
      </c>
      <c r="N61" s="3">
        <v>1</v>
      </c>
      <c r="O61" s="3">
        <v>1</v>
      </c>
      <c r="P61" s="2">
        <f t="shared" si="2"/>
        <v>1.4444444444444444</v>
      </c>
      <c r="Q61" s="3">
        <v>0</v>
      </c>
      <c r="R61" s="7">
        <f t="shared" si="3"/>
        <v>0</v>
      </c>
    </row>
    <row r="62" spans="1:18">
      <c r="A62" s="1" t="s">
        <v>95</v>
      </c>
      <c r="B62" s="1" t="s">
        <v>96</v>
      </c>
      <c r="C62" s="1" t="s">
        <v>135</v>
      </c>
      <c r="D62" s="1" t="s">
        <v>97</v>
      </c>
      <c r="E62" s="1" t="s">
        <v>201</v>
      </c>
      <c r="F62" s="1">
        <v>2</v>
      </c>
      <c r="G62" s="1">
        <v>5</v>
      </c>
      <c r="H62" s="1">
        <v>4</v>
      </c>
      <c r="I62" s="1">
        <v>5</v>
      </c>
      <c r="J62" s="1">
        <v>5</v>
      </c>
      <c r="K62" s="1">
        <v>4</v>
      </c>
      <c r="L62" s="1">
        <v>5</v>
      </c>
      <c r="M62" s="1">
        <v>5</v>
      </c>
      <c r="N62" s="1">
        <v>5</v>
      </c>
      <c r="O62" s="1">
        <v>4</v>
      </c>
      <c r="P62">
        <f t="shared" si="2"/>
        <v>4.666666666666667</v>
      </c>
      <c r="Q62" s="1">
        <v>2</v>
      </c>
      <c r="R62" s="4">
        <f t="shared" si="3"/>
        <v>0</v>
      </c>
    </row>
    <row r="63" spans="1:18">
      <c r="A63" s="1" t="s">
        <v>95</v>
      </c>
      <c r="B63" s="1" t="s">
        <v>96</v>
      </c>
      <c r="C63" s="1" t="s">
        <v>135</v>
      </c>
      <c r="D63" s="1" t="s">
        <v>98</v>
      </c>
      <c r="E63" s="1" t="s">
        <v>202</v>
      </c>
      <c r="F63" s="1">
        <v>1</v>
      </c>
      <c r="G63" s="1">
        <v>5</v>
      </c>
      <c r="H63" s="1">
        <v>4</v>
      </c>
      <c r="I63" s="1">
        <v>3</v>
      </c>
      <c r="J63" s="1">
        <v>5</v>
      </c>
      <c r="K63" s="1">
        <v>5</v>
      </c>
      <c r="L63" s="1">
        <v>5</v>
      </c>
      <c r="M63" s="1">
        <v>5</v>
      </c>
      <c r="N63" s="1">
        <v>5</v>
      </c>
      <c r="O63" s="1">
        <v>5</v>
      </c>
      <c r="P63">
        <f t="shared" si="2"/>
        <v>4.666666666666667</v>
      </c>
      <c r="Q63" s="1">
        <v>2</v>
      </c>
      <c r="R63" s="10">
        <f t="shared" si="3"/>
        <v>-1</v>
      </c>
    </row>
    <row r="64" spans="1:18">
      <c r="A64" s="1" t="s">
        <v>95</v>
      </c>
      <c r="B64" s="1" t="s">
        <v>96</v>
      </c>
      <c r="C64" s="1" t="s">
        <v>135</v>
      </c>
      <c r="D64" s="1" t="s">
        <v>99</v>
      </c>
      <c r="E64" s="1" t="s">
        <v>203</v>
      </c>
      <c r="F64" s="1">
        <v>1</v>
      </c>
      <c r="G64" s="1">
        <v>5</v>
      </c>
      <c r="H64" s="1">
        <v>5</v>
      </c>
      <c r="I64" s="1">
        <v>3</v>
      </c>
      <c r="J64" s="1">
        <v>4</v>
      </c>
      <c r="K64" s="1">
        <v>3</v>
      </c>
      <c r="L64" s="1">
        <v>4</v>
      </c>
      <c r="M64" s="1">
        <v>4</v>
      </c>
      <c r="N64" s="1">
        <v>4</v>
      </c>
      <c r="O64" s="1">
        <v>4</v>
      </c>
      <c r="P64">
        <f t="shared" si="2"/>
        <v>4</v>
      </c>
      <c r="Q64" s="1">
        <v>1</v>
      </c>
      <c r="R64" s="4">
        <f t="shared" si="3"/>
        <v>0</v>
      </c>
    </row>
    <row r="65" spans="1:18">
      <c r="A65" s="1" t="s">
        <v>95</v>
      </c>
      <c r="B65" s="1" t="s">
        <v>96</v>
      </c>
      <c r="C65" s="1" t="s">
        <v>135</v>
      </c>
      <c r="D65" s="1" t="s">
        <v>100</v>
      </c>
      <c r="E65" s="1" t="s">
        <v>204</v>
      </c>
      <c r="F65" s="1">
        <v>0</v>
      </c>
      <c r="G65" s="1">
        <v>1</v>
      </c>
      <c r="H65" s="1">
        <v>3</v>
      </c>
      <c r="I65" s="1">
        <v>1</v>
      </c>
      <c r="J65" s="1">
        <v>3</v>
      </c>
      <c r="K65" s="1">
        <v>2</v>
      </c>
      <c r="L65" s="1">
        <v>3</v>
      </c>
      <c r="M65" s="1">
        <v>4</v>
      </c>
      <c r="N65" s="1">
        <v>1</v>
      </c>
      <c r="O65" s="1">
        <v>2</v>
      </c>
      <c r="P65">
        <f t="shared" si="2"/>
        <v>2.2222222222222223</v>
      </c>
      <c r="Q65" s="1">
        <v>0</v>
      </c>
      <c r="R65" s="4">
        <f t="shared" si="3"/>
        <v>0</v>
      </c>
    </row>
    <row r="66" spans="1:18">
      <c r="A66" s="3" t="s">
        <v>101</v>
      </c>
      <c r="B66" s="3" t="s">
        <v>102</v>
      </c>
      <c r="C66" s="3" t="s">
        <v>136</v>
      </c>
      <c r="D66" s="3" t="s">
        <v>103</v>
      </c>
      <c r="E66" s="3" t="s">
        <v>215</v>
      </c>
      <c r="F66" s="3">
        <v>1</v>
      </c>
      <c r="G66" s="3">
        <v>5</v>
      </c>
      <c r="H66" s="3">
        <v>4</v>
      </c>
      <c r="I66" s="3">
        <v>2</v>
      </c>
      <c r="J66" s="3">
        <v>4</v>
      </c>
      <c r="K66" s="3">
        <v>3</v>
      </c>
      <c r="L66" s="3">
        <v>2</v>
      </c>
      <c r="M66" s="3">
        <v>3</v>
      </c>
      <c r="N66" s="3">
        <v>4</v>
      </c>
      <c r="O66" s="3">
        <v>5</v>
      </c>
      <c r="P66" s="2">
        <f t="shared" si="2"/>
        <v>3.5555555555555554</v>
      </c>
      <c r="Q66" s="3">
        <v>1</v>
      </c>
      <c r="R66" s="7">
        <f t="shared" si="3"/>
        <v>0</v>
      </c>
    </row>
    <row r="67" spans="1:18">
      <c r="A67" s="3" t="s">
        <v>101</v>
      </c>
      <c r="B67" s="3" t="s">
        <v>102</v>
      </c>
      <c r="C67" s="3" t="s">
        <v>136</v>
      </c>
      <c r="D67" s="3" t="s">
        <v>104</v>
      </c>
      <c r="E67" s="3" t="s">
        <v>205</v>
      </c>
      <c r="F67" s="3">
        <v>2</v>
      </c>
      <c r="G67" s="3">
        <v>5</v>
      </c>
      <c r="H67" s="3">
        <v>5</v>
      </c>
      <c r="I67" s="3">
        <v>5</v>
      </c>
      <c r="J67" s="3">
        <v>5</v>
      </c>
      <c r="K67" s="3">
        <v>5</v>
      </c>
      <c r="L67" s="3">
        <v>5</v>
      </c>
      <c r="M67" s="3">
        <v>5</v>
      </c>
      <c r="N67" s="3">
        <v>5</v>
      </c>
      <c r="O67" s="3">
        <v>5</v>
      </c>
      <c r="P67" s="2">
        <f t="shared" si="2"/>
        <v>5</v>
      </c>
      <c r="Q67" s="3">
        <v>2</v>
      </c>
      <c r="R67" s="7">
        <f t="shared" si="3"/>
        <v>0</v>
      </c>
    </row>
    <row r="68" spans="1:18">
      <c r="A68" s="3" t="s">
        <v>101</v>
      </c>
      <c r="B68" s="3" t="s">
        <v>102</v>
      </c>
      <c r="C68" s="3" t="s">
        <v>136</v>
      </c>
      <c r="D68" s="3" t="s">
        <v>105</v>
      </c>
      <c r="E68" s="3" t="s">
        <v>206</v>
      </c>
      <c r="F68" s="3">
        <v>1</v>
      </c>
      <c r="G68" s="3">
        <v>5</v>
      </c>
      <c r="H68" s="3">
        <v>4</v>
      </c>
      <c r="I68" s="3">
        <v>3</v>
      </c>
      <c r="J68" s="3">
        <v>5</v>
      </c>
      <c r="K68" s="3">
        <v>3</v>
      </c>
      <c r="L68" s="3">
        <v>5</v>
      </c>
      <c r="M68" s="3">
        <v>5</v>
      </c>
      <c r="N68" s="3">
        <v>4</v>
      </c>
      <c r="O68" s="3">
        <v>5</v>
      </c>
      <c r="P68" s="2">
        <f t="shared" si="2"/>
        <v>4.333333333333333</v>
      </c>
      <c r="Q68" s="3">
        <v>1</v>
      </c>
      <c r="R68" s="7">
        <f t="shared" si="3"/>
        <v>0</v>
      </c>
    </row>
    <row r="69" spans="1:18">
      <c r="A69" s="3" t="s">
        <v>101</v>
      </c>
      <c r="B69" s="3" t="s">
        <v>102</v>
      </c>
      <c r="C69" s="3" t="s">
        <v>136</v>
      </c>
      <c r="D69" s="3" t="s">
        <v>106</v>
      </c>
      <c r="E69" s="3" t="s">
        <v>207</v>
      </c>
      <c r="F69" s="3">
        <v>0</v>
      </c>
      <c r="G69" s="3">
        <v>4</v>
      </c>
      <c r="H69" s="3">
        <v>4</v>
      </c>
      <c r="I69" s="3">
        <v>1</v>
      </c>
      <c r="J69" s="3">
        <v>4</v>
      </c>
      <c r="K69" s="3">
        <v>2</v>
      </c>
      <c r="L69" s="3">
        <v>2</v>
      </c>
      <c r="M69" s="3">
        <v>4</v>
      </c>
      <c r="N69" s="3">
        <v>2</v>
      </c>
      <c r="O69" s="3">
        <v>1</v>
      </c>
      <c r="P69" s="2">
        <f t="shared" si="2"/>
        <v>2.6666666666666665</v>
      </c>
      <c r="Q69" s="3">
        <v>0</v>
      </c>
      <c r="R69" s="7">
        <f t="shared" si="3"/>
        <v>0</v>
      </c>
    </row>
    <row r="70" spans="1:18">
      <c r="A70" s="1" t="s">
        <v>107</v>
      </c>
      <c r="B70" s="1" t="s">
        <v>108</v>
      </c>
      <c r="C70" s="1" t="s">
        <v>137</v>
      </c>
      <c r="D70" s="1" t="s">
        <v>109</v>
      </c>
      <c r="E70" s="1" t="s">
        <v>208</v>
      </c>
      <c r="F70" s="1">
        <v>1</v>
      </c>
      <c r="G70" s="1">
        <v>5</v>
      </c>
      <c r="H70" s="1">
        <v>4</v>
      </c>
      <c r="I70" s="1">
        <v>5</v>
      </c>
      <c r="J70" s="1">
        <v>5</v>
      </c>
      <c r="K70" s="1">
        <v>5</v>
      </c>
      <c r="L70" s="1">
        <v>4</v>
      </c>
      <c r="M70" s="1">
        <v>5</v>
      </c>
      <c r="N70" s="1">
        <v>5</v>
      </c>
      <c r="O70" s="1">
        <v>4</v>
      </c>
      <c r="P70">
        <f t="shared" si="2"/>
        <v>4.666666666666667</v>
      </c>
      <c r="Q70" s="1">
        <v>2</v>
      </c>
      <c r="R70" s="10">
        <f t="shared" si="3"/>
        <v>-1</v>
      </c>
    </row>
    <row r="71" spans="1:18">
      <c r="A71" s="1" t="s">
        <v>107</v>
      </c>
      <c r="B71" s="1" t="s">
        <v>108</v>
      </c>
      <c r="C71" s="1" t="s">
        <v>137</v>
      </c>
      <c r="D71" s="1" t="s">
        <v>110</v>
      </c>
      <c r="E71" s="1" t="s">
        <v>209</v>
      </c>
      <c r="F71" s="1">
        <v>0</v>
      </c>
      <c r="G71" s="1">
        <v>1</v>
      </c>
      <c r="H71" s="1">
        <v>4</v>
      </c>
      <c r="I71" s="1">
        <v>1</v>
      </c>
      <c r="J71" s="1">
        <v>4</v>
      </c>
      <c r="K71" s="1">
        <v>2</v>
      </c>
      <c r="L71" s="1">
        <v>2</v>
      </c>
      <c r="M71" s="1">
        <v>3</v>
      </c>
      <c r="N71" s="1">
        <v>3</v>
      </c>
      <c r="O71" s="1">
        <v>2</v>
      </c>
      <c r="P71">
        <f t="shared" si="2"/>
        <v>2.4444444444444446</v>
      </c>
      <c r="Q71" s="1">
        <v>0</v>
      </c>
      <c r="R71" s="4">
        <f t="shared" si="3"/>
        <v>0</v>
      </c>
    </row>
    <row r="72" spans="1:18">
      <c r="A72" s="1" t="s">
        <v>107</v>
      </c>
      <c r="B72" s="1" t="s">
        <v>108</v>
      </c>
      <c r="C72" s="1" t="s">
        <v>137</v>
      </c>
      <c r="D72" s="1" t="s">
        <v>111</v>
      </c>
      <c r="E72" s="1" t="s">
        <v>210</v>
      </c>
      <c r="F72" s="1">
        <v>1</v>
      </c>
      <c r="G72" s="1">
        <v>5</v>
      </c>
      <c r="H72" s="1">
        <v>4</v>
      </c>
      <c r="I72" s="1">
        <v>1</v>
      </c>
      <c r="J72" s="1">
        <v>4</v>
      </c>
      <c r="K72" s="1">
        <v>4</v>
      </c>
      <c r="L72" s="1">
        <v>5</v>
      </c>
      <c r="M72" s="1">
        <v>3</v>
      </c>
      <c r="N72" s="1">
        <v>3</v>
      </c>
      <c r="O72" s="1">
        <v>4</v>
      </c>
      <c r="P72">
        <f t="shared" si="2"/>
        <v>3.6666666666666665</v>
      </c>
      <c r="Q72" s="1">
        <v>1</v>
      </c>
      <c r="R72" s="4">
        <f t="shared" si="3"/>
        <v>0</v>
      </c>
    </row>
    <row r="73" spans="1:18">
      <c r="A73" s="1" t="s">
        <v>107</v>
      </c>
      <c r="B73" s="1" t="s">
        <v>108</v>
      </c>
      <c r="C73" s="1" t="s">
        <v>137</v>
      </c>
      <c r="D73" s="1" t="s">
        <v>112</v>
      </c>
      <c r="E73" s="1" t="s">
        <v>211</v>
      </c>
      <c r="F73" s="1">
        <v>2</v>
      </c>
      <c r="G73" s="1">
        <v>5</v>
      </c>
      <c r="H73" s="1">
        <v>4</v>
      </c>
      <c r="I73" s="1">
        <v>1</v>
      </c>
      <c r="J73" s="1">
        <v>5</v>
      </c>
      <c r="K73" s="1">
        <v>5</v>
      </c>
      <c r="L73" s="1">
        <v>5</v>
      </c>
      <c r="M73" s="1">
        <v>4</v>
      </c>
      <c r="N73" s="1">
        <v>4</v>
      </c>
      <c r="O73" s="1">
        <v>4</v>
      </c>
      <c r="P73">
        <f t="shared" si="2"/>
        <v>4.1111111111111107</v>
      </c>
      <c r="Q73" s="1">
        <v>1</v>
      </c>
      <c r="R73" s="9">
        <f t="shared" si="3"/>
        <v>1</v>
      </c>
    </row>
  </sheetData>
  <phoneticPr fontId="6" type="noConversion"/>
  <pageMargins left="0.75" right="0.75" top="1" bottom="1" header="0.5" footer="0.5"/>
  <pageSetup paperSize="9" orientation="portrait" horizontalDpi="0" verticalDpi="0"/>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adapted_options_llm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liming</dc:creator>
  <cp:lastModifiedBy>Liming</cp:lastModifiedBy>
  <dcterms:created xsi:type="dcterms:W3CDTF">2024-06-10T18:37:00Z</dcterms:created>
  <dcterms:modified xsi:type="dcterms:W3CDTF">2026-02-04T06:03:03Z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858B15CCA818E47F62726266BB11CCB4_41</vt:lpwstr>
  </property>
  <property fmtid="{D5CDD505-2E9C-101B-9397-08002B2CF9AE}" pid="3" name="KSOProductBuildVer">
    <vt:lpwstr>1033-6.11.0.8885</vt:lpwstr>
  </property>
</Properties>
</file>